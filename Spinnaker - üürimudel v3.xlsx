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ise.envir.ee\Kasutajad$\KeM\38808160217\Documents\"/>
    </mc:Choice>
  </mc:AlternateContent>
  <xr:revisionPtr revIDLastSave="0" documentId="8_{C2896A81-7C2F-4900-AECE-7185523CE189}" xr6:coauthVersionLast="47" xr6:coauthVersionMax="47" xr10:uidLastSave="{00000000-0000-0000-0000-000000000000}"/>
  <bookViews>
    <workbookView xWindow="-108" yWindow="-108" windowWidth="23256" windowHeight="13896" xr2:uid="{2300FB62-1094-4476-B5DE-9E870F56C7A9}"/>
  </bookViews>
  <sheets>
    <sheet name="Spinnakeri mudel" sheetId="9" r:id="rId1"/>
  </sheets>
  <definedNames>
    <definedName name="_xlchart.v1.0" hidden="1">'Spinnakeri mudel'!$D$45</definedName>
    <definedName name="_xlchart.v1.1" hidden="1">('Spinnakeri mudel'!$G$28:$G$32,'Spinnakeri mudel'!$G$35)</definedName>
    <definedName name="_xlchart.v1.2" hidden="1">('Spinnakeri mudel'!$L$28:$L$32,'Spinnakeri mudel'!$L$35)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9" l="1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H12" i="9"/>
  <c r="D39" i="9"/>
  <c r="D8" i="9"/>
  <c r="D7" i="9"/>
  <c r="D6" i="9"/>
  <c r="D5" i="9"/>
  <c r="K10" i="9"/>
  <c r="K6" i="9"/>
  <c r="AL6" i="9"/>
  <c r="AM6" i="9"/>
  <c r="AN6" i="9"/>
  <c r="AO6" i="9"/>
  <c r="AP6" i="9"/>
  <c r="AQ6" i="9"/>
  <c r="AR6" i="9"/>
  <c r="AS6" i="9"/>
  <c r="AT6" i="9"/>
  <c r="AU6" i="9"/>
  <c r="E29" i="9"/>
  <c r="D32" i="9" s="1"/>
  <c r="D35" i="9" s="1"/>
  <c r="J7" i="9" s="1"/>
  <c r="D15" i="9"/>
  <c r="D16" i="9" s="1"/>
  <c r="D20" i="9" s="1"/>
  <c r="D31" i="9" s="1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L5" i="9"/>
  <c r="Y9" i="9" l="1"/>
  <c r="K9" i="9"/>
  <c r="AL9" i="9"/>
  <c r="AB9" i="9"/>
  <c r="N9" i="9"/>
  <c r="M9" i="9"/>
  <c r="AM9" i="9"/>
  <c r="AA9" i="9"/>
  <c r="Z9" i="9"/>
  <c r="X9" i="9"/>
  <c r="L9" i="9"/>
  <c r="AP9" i="9"/>
  <c r="AO9" i="9"/>
  <c r="AN9" i="9"/>
  <c r="O9" i="9"/>
  <c r="AC9" i="9"/>
  <c r="AQ9" i="9"/>
  <c r="P9" i="9"/>
  <c r="AD9" i="9"/>
  <c r="AR9" i="9"/>
  <c r="Q9" i="9"/>
  <c r="AE9" i="9"/>
  <c r="AS9" i="9"/>
  <c r="R9" i="9"/>
  <c r="AF9" i="9"/>
  <c r="AT9" i="9"/>
  <c r="S9" i="9"/>
  <c r="AG9" i="9"/>
  <c r="AU9" i="9"/>
  <c r="AU44" i="9" s="1"/>
  <c r="T9" i="9"/>
  <c r="AH9" i="9"/>
  <c r="H9" i="9"/>
  <c r="U9" i="9"/>
  <c r="AI9" i="9"/>
  <c r="L10" i="9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10" i="9" s="1"/>
  <c r="AF10" i="9" s="1"/>
  <c r="AG10" i="9" s="1"/>
  <c r="AH10" i="9" s="1"/>
  <c r="AI10" i="9" s="1"/>
  <c r="AJ10" i="9" s="1"/>
  <c r="AK10" i="9" s="1"/>
  <c r="AL10" i="9" s="1"/>
  <c r="AM10" i="9" s="1"/>
  <c r="AN10" i="9" s="1"/>
  <c r="AO10" i="9" s="1"/>
  <c r="AP10" i="9" s="1"/>
  <c r="AQ10" i="9" s="1"/>
  <c r="AR10" i="9" s="1"/>
  <c r="AS10" i="9" s="1"/>
  <c r="AT10" i="9" s="1"/>
  <c r="AU10" i="9" s="1"/>
  <c r="V9" i="9"/>
  <c r="AJ9" i="9"/>
  <c r="I9" i="9"/>
  <c r="I11" i="9" s="1"/>
  <c r="W9" i="9"/>
  <c r="AK9" i="9"/>
  <c r="J9" i="9"/>
  <c r="J11" i="9" s="1"/>
  <c r="I7" i="9"/>
  <c r="I8" i="9"/>
  <c r="K11" i="9"/>
  <c r="M5" i="9"/>
  <c r="D34" i="9"/>
  <c r="H7" i="9" s="1"/>
  <c r="D33" i="9"/>
  <c r="L11" i="9" l="1"/>
  <c r="L13" i="9" s="1"/>
  <c r="K13" i="9"/>
  <c r="I13" i="9"/>
  <c r="I14" i="9" s="1"/>
  <c r="AV10" i="9"/>
  <c r="H30" i="9" s="1"/>
  <c r="AV7" i="9"/>
  <c r="H28" i="9" s="1"/>
  <c r="J8" i="9"/>
  <c r="J13" i="9" s="1"/>
  <c r="D36" i="9"/>
  <c r="D37" i="9" s="1"/>
  <c r="D38" i="9" s="1"/>
  <c r="N5" i="9"/>
  <c r="M11" i="9" l="1"/>
  <c r="M13" i="9" s="1"/>
  <c r="J14" i="9"/>
  <c r="O5" i="9"/>
  <c r="H8" i="9"/>
  <c r="AV12" i="9" l="1"/>
  <c r="H35" i="9" s="1"/>
  <c r="AV8" i="9"/>
  <c r="H29" i="9" s="1"/>
  <c r="N11" i="9"/>
  <c r="N13" i="9" s="1"/>
  <c r="P5" i="9"/>
  <c r="O11" i="9" l="1"/>
  <c r="O13" i="9" s="1"/>
  <c r="Q5" i="9"/>
  <c r="P11" i="9" l="1"/>
  <c r="P13" i="9" s="1"/>
  <c r="R5" i="9"/>
  <c r="Q11" i="9" l="1"/>
  <c r="Q13" i="9" s="1"/>
  <c r="S5" i="9"/>
  <c r="R11" i="9" l="1"/>
  <c r="R13" i="9" s="1"/>
  <c r="T5" i="9"/>
  <c r="S11" i="9" l="1"/>
  <c r="S13" i="9" s="1"/>
  <c r="U5" i="9"/>
  <c r="T11" i="9" l="1"/>
  <c r="T13" i="9" s="1"/>
  <c r="V5" i="9"/>
  <c r="U11" i="9" l="1"/>
  <c r="U13" i="9" s="1"/>
  <c r="W5" i="9"/>
  <c r="V11" i="9" l="1"/>
  <c r="V13" i="9" s="1"/>
  <c r="X5" i="9"/>
  <c r="W11" i="9" l="1"/>
  <c r="W13" i="9" s="1"/>
  <c r="Y5" i="9"/>
  <c r="X11" i="9" l="1"/>
  <c r="X13" i="9" s="1"/>
  <c r="Z5" i="9"/>
  <c r="Y11" i="9" l="1"/>
  <c r="Y13" i="9" s="1"/>
  <c r="AA5" i="9"/>
  <c r="Z11" i="9" l="1"/>
  <c r="Z13" i="9" s="1"/>
  <c r="AB5" i="9"/>
  <c r="AA11" i="9" l="1"/>
  <c r="AA13" i="9" s="1"/>
  <c r="AC5" i="9"/>
  <c r="AB11" i="9" l="1"/>
  <c r="AB13" i="9" s="1"/>
  <c r="AD5" i="9"/>
  <c r="AC11" i="9" l="1"/>
  <c r="AC13" i="9" s="1"/>
  <c r="AE5" i="9"/>
  <c r="AD11" i="9" l="1"/>
  <c r="AD13" i="9" s="1"/>
  <c r="AF5" i="9"/>
  <c r="AE11" i="9" l="1"/>
  <c r="AE13" i="9" s="1"/>
  <c r="AG5" i="9"/>
  <c r="AF11" i="9" l="1"/>
  <c r="AF13" i="9" s="1"/>
  <c r="AH5" i="9"/>
  <c r="AG11" i="9" l="1"/>
  <c r="AG13" i="9" s="1"/>
  <c r="AI5" i="9"/>
  <c r="AH11" i="9" l="1"/>
  <c r="AH13" i="9" s="1"/>
  <c r="AJ5" i="9"/>
  <c r="AI11" i="9" l="1"/>
  <c r="AI13" i="9" s="1"/>
  <c r="AK5" i="9"/>
  <c r="AJ11" i="9" l="1"/>
  <c r="AJ13" i="9" s="1"/>
  <c r="AL5" i="9"/>
  <c r="AK11" i="9" l="1"/>
  <c r="AK13" i="9" s="1"/>
  <c r="AL11" i="9"/>
  <c r="AL13" i="9" s="1"/>
  <c r="AM5" i="9"/>
  <c r="AM11" i="9" l="1"/>
  <c r="AM13" i="9" s="1"/>
  <c r="AN5" i="9"/>
  <c r="AO5" i="9" l="1"/>
  <c r="AN11" i="9"/>
  <c r="AN13" i="9" s="1"/>
  <c r="AP5" i="9" l="1"/>
  <c r="AO11" i="9"/>
  <c r="AO13" i="9" s="1"/>
  <c r="AQ5" i="9" l="1"/>
  <c r="AP11" i="9"/>
  <c r="AP13" i="9" s="1"/>
  <c r="AR5" i="9" l="1"/>
  <c r="AQ11" i="9"/>
  <c r="AQ13" i="9" s="1"/>
  <c r="AS5" i="9" l="1"/>
  <c r="AR11" i="9"/>
  <c r="AR13" i="9" s="1"/>
  <c r="AT5" i="9" l="1"/>
  <c r="AS11" i="9"/>
  <c r="AS13" i="9" s="1"/>
  <c r="AU5" i="9" l="1"/>
  <c r="AT11" i="9"/>
  <c r="AT13" i="9" s="1"/>
  <c r="AU11" i="9" l="1"/>
  <c r="AU13" i="9" s="1"/>
  <c r="AV9" i="9"/>
  <c r="H34" i="9" s="1"/>
  <c r="H36" i="9" s="1"/>
  <c r="H11" i="9"/>
  <c r="AV11" i="9" l="1"/>
  <c r="H13" i="9"/>
  <c r="AV13" i="9" s="1"/>
  <c r="H23" i="9" l="1"/>
  <c r="H14" i="9"/>
  <c r="H17" i="9" s="1"/>
  <c r="I17" i="9" s="1"/>
  <c r="AV14" i="9" l="1"/>
  <c r="H15" i="9"/>
  <c r="AV15" i="9" s="1"/>
  <c r="H18" i="9"/>
  <c r="H19" i="9" s="1"/>
  <c r="I18" i="9"/>
  <c r="I19" i="9" s="1"/>
  <c r="J17" i="9"/>
  <c r="AR16" i="9" l="1"/>
  <c r="AO16" i="9"/>
  <c r="AL16" i="9"/>
  <c r="AP16" i="9"/>
  <c r="AM16" i="9"/>
  <c r="AT16" i="9"/>
  <c r="AQ16" i="9"/>
  <c r="AN16" i="9"/>
  <c r="AS16" i="9"/>
  <c r="U16" i="9"/>
  <c r="AI16" i="9"/>
  <c r="K16" i="9"/>
  <c r="V16" i="9"/>
  <c r="AJ16" i="9"/>
  <c r="T16" i="9"/>
  <c r="O16" i="9"/>
  <c r="W16" i="9"/>
  <c r="AB16" i="9"/>
  <c r="N16" i="9"/>
  <c r="Z16" i="9"/>
  <c r="AG16" i="9"/>
  <c r="Y16" i="9"/>
  <c r="S16" i="9"/>
  <c r="X16" i="9"/>
  <c r="AF16" i="9"/>
  <c r="R16" i="9"/>
  <c r="AE16" i="9"/>
  <c r="AD16" i="9"/>
  <c r="AC16" i="9"/>
  <c r="AH16" i="9"/>
  <c r="P16" i="9"/>
  <c r="H20" i="9"/>
  <c r="I20" i="9"/>
  <c r="J18" i="9"/>
  <c r="J19" i="9" s="1"/>
  <c r="K17" i="9" l="1"/>
  <c r="J20" i="9"/>
  <c r="L16" i="9" l="1"/>
  <c r="L17" i="9" s="1"/>
  <c r="M16" i="9" s="1"/>
  <c r="K18" i="9"/>
  <c r="M17" i="9" l="1"/>
  <c r="N17" i="9" s="1"/>
  <c r="L18" i="9"/>
  <c r="L19" i="9" s="1"/>
  <c r="K19" i="9"/>
  <c r="L20" i="9" l="1"/>
  <c r="M18" i="9"/>
  <c r="M19" i="9" s="1"/>
  <c r="M20" i="9" s="1"/>
  <c r="K20" i="9"/>
  <c r="N18" i="9"/>
  <c r="O17" i="9"/>
  <c r="N19" i="9" l="1"/>
  <c r="N20" i="9" s="1"/>
  <c r="P17" i="9"/>
  <c r="Q16" i="9" s="1"/>
  <c r="O18" i="9"/>
  <c r="O19" i="9" s="1"/>
  <c r="O20" i="9" l="1"/>
  <c r="Q17" i="9"/>
  <c r="P18" i="9"/>
  <c r="P19" i="9" l="1"/>
  <c r="P20" i="9" s="1"/>
  <c r="Q18" i="9"/>
  <c r="R17" i="9"/>
  <c r="Q19" i="9" l="1"/>
  <c r="Q20" i="9" s="1"/>
  <c r="S17" i="9"/>
  <c r="R18" i="9"/>
  <c r="R19" i="9" l="1"/>
  <c r="R20" i="9" s="1"/>
  <c r="T17" i="9"/>
  <c r="S18" i="9"/>
  <c r="S19" i="9" l="1"/>
  <c r="S20" i="9" s="1"/>
  <c r="U17" i="9"/>
  <c r="T18" i="9"/>
  <c r="T19" i="9" l="1"/>
  <c r="T20" i="9" s="1"/>
  <c r="V17" i="9"/>
  <c r="U18" i="9"/>
  <c r="U19" i="9" l="1"/>
  <c r="U20" i="9" s="1"/>
  <c r="W17" i="9"/>
  <c r="V18" i="9"/>
  <c r="V19" i="9" l="1"/>
  <c r="V20" i="9" s="1"/>
  <c r="W18" i="9"/>
  <c r="X17" i="9"/>
  <c r="W19" i="9" l="1"/>
  <c r="W20" i="9" s="1"/>
  <c r="Y17" i="9"/>
  <c r="X18" i="9"/>
  <c r="X19" i="9" l="1"/>
  <c r="X20" i="9" s="1"/>
  <c r="Z17" i="9"/>
  <c r="AA16" i="9" s="1"/>
  <c r="Y18" i="9"/>
  <c r="Y19" i="9" l="1"/>
  <c r="Y20" i="9" s="1"/>
  <c r="AA17" i="9"/>
  <c r="Z18" i="9"/>
  <c r="Z19" i="9" l="1"/>
  <c r="Z20" i="9" s="1"/>
  <c r="AA18" i="9"/>
  <c r="AB17" i="9"/>
  <c r="AA19" i="9" l="1"/>
  <c r="AA20" i="9" s="1"/>
  <c r="AB18" i="9"/>
  <c r="AC17" i="9"/>
  <c r="AB19" i="9" l="1"/>
  <c r="AB20" i="9" s="1"/>
  <c r="AD17" i="9"/>
  <c r="AC18" i="9"/>
  <c r="AC19" i="9" l="1"/>
  <c r="AC20" i="9" s="1"/>
  <c r="AE17" i="9"/>
  <c r="AD18" i="9"/>
  <c r="AD19" i="9" l="1"/>
  <c r="AD20" i="9" s="1"/>
  <c r="AE18" i="9"/>
  <c r="AF17" i="9"/>
  <c r="AE19" i="9" l="1"/>
  <c r="AE20" i="9" s="1"/>
  <c r="AG17" i="9"/>
  <c r="AF18" i="9"/>
  <c r="AF19" i="9" l="1"/>
  <c r="AF20" i="9" s="1"/>
  <c r="AG18" i="9"/>
  <c r="AH17" i="9"/>
  <c r="AG19" i="9" l="1"/>
  <c r="AG20" i="9" s="1"/>
  <c r="AI17" i="9"/>
  <c r="AH18" i="9"/>
  <c r="AH19" i="9" l="1"/>
  <c r="AH20" i="9" s="1"/>
  <c r="AJ17" i="9"/>
  <c r="AI18" i="9"/>
  <c r="AK16" i="9" l="1"/>
  <c r="AI19" i="9"/>
  <c r="AI20" i="9" s="1"/>
  <c r="AJ18" i="9"/>
  <c r="AK17" i="9" l="1"/>
  <c r="AK18" i="9" s="1"/>
  <c r="AJ19" i="9"/>
  <c r="AJ20" i="9" s="1"/>
  <c r="AL17" i="9" l="1"/>
  <c r="AM17" i="9" s="1"/>
  <c r="AK19" i="9"/>
  <c r="AL18" i="9" l="1"/>
  <c r="AK20" i="9"/>
  <c r="AM18" i="9"/>
  <c r="AN17" i="9"/>
  <c r="AL19" i="9" l="1"/>
  <c r="AL20" i="9" s="1"/>
  <c r="AM19" i="9"/>
  <c r="AM20" i="9" s="1"/>
  <c r="AO17" i="9"/>
  <c r="AN18" i="9"/>
  <c r="AN19" i="9" l="1"/>
  <c r="AN20" i="9" s="1"/>
  <c r="AO18" i="9"/>
  <c r="AP17" i="9"/>
  <c r="AO19" i="9" l="1"/>
  <c r="AP18" i="9"/>
  <c r="AQ17" i="9"/>
  <c r="AP19" i="9" l="1"/>
  <c r="AP20" i="9" s="1"/>
  <c r="AO20" i="9"/>
  <c r="AQ18" i="9"/>
  <c r="AR17" i="9"/>
  <c r="AQ19" i="9" l="1"/>
  <c r="AS17" i="9"/>
  <c r="AR18" i="9"/>
  <c r="AQ20" i="9" l="1"/>
  <c r="AR19" i="9"/>
  <c r="AR20" i="9" s="1"/>
  <c r="AT17" i="9"/>
  <c r="AU16" i="9" s="1"/>
  <c r="AS18" i="9"/>
  <c r="AS19" i="9" l="1"/>
  <c r="AS20" i="9" s="1"/>
  <c r="AV16" i="9"/>
  <c r="AT18" i="9"/>
  <c r="AU17" i="9"/>
  <c r="AU18" i="9" s="1"/>
  <c r="AU19" i="9" s="1"/>
  <c r="AT19" i="9" l="1"/>
  <c r="AT20" i="9" s="1"/>
  <c r="AV18" i="9"/>
  <c r="H31" i="9" s="1"/>
  <c r="H24" i="9" l="1"/>
  <c r="AU20" i="9"/>
  <c r="H22" i="9" s="1"/>
  <c r="H26" i="9" s="1"/>
  <c r="AV19" i="9"/>
  <c r="H32" i="9" s="1"/>
  <c r="H33" i="9" s="1"/>
  <c r="J31" i="9" s="1"/>
  <c r="J35" i="9" l="1"/>
  <c r="K35" i="9" s="1"/>
  <c r="L35" i="9" s="1"/>
  <c r="J29" i="9"/>
  <c r="J30" i="9"/>
  <c r="J28" i="9"/>
  <c r="J32" i="9"/>
  <c r="J37" i="9" l="1"/>
  <c r="K31" i="9" s="1"/>
  <c r="L31" i="9" s="1"/>
  <c r="K29" i="9" l="1"/>
  <c r="L29" i="9" s="1"/>
  <c r="K30" i="9"/>
  <c r="L30" i="9" s="1"/>
  <c r="K32" i="9"/>
  <c r="L32" i="9" s="1"/>
  <c r="K28" i="9"/>
  <c r="L28" i="9" s="1"/>
</calcChain>
</file>

<file path=xl/sharedStrings.xml><?xml version="1.0" encoding="utf-8"?>
<sst xmlns="http://schemas.openxmlformats.org/spreadsheetml/2006/main" count="85" uniqueCount="83">
  <si>
    <t>Käibemaks</t>
  </si>
  <si>
    <t>Liitumistasud ja sotsiaalinfra</t>
  </si>
  <si>
    <t>Planeering ja projekteerimine</t>
  </si>
  <si>
    <t>Ehitusaegne projektijuhtimine, järelevalve</t>
  </si>
  <si>
    <t>NB! Muutmiseks ainult rohelised lahtrid.</t>
  </si>
  <si>
    <t>Korterite arv</t>
  </si>
  <si>
    <t>Keskmine korteri pind m2</t>
  </si>
  <si>
    <t>Üüritav pind kokku m2</t>
  </si>
  <si>
    <t>Üürihinna arvutus</t>
  </si>
  <si>
    <t>Maa hind (kogu kinnistu m2 hind)</t>
  </si>
  <si>
    <t>Maa hind hoone suletud netopinna kohta (m2)</t>
  </si>
  <si>
    <t>Korterid (üüritav osa)</t>
  </si>
  <si>
    <t>Kogu suletud netopind m2</t>
  </si>
  <si>
    <t>Halduskulu</t>
  </si>
  <si>
    <t>Vakants + makserisk osakaal NOIst</t>
  </si>
  <si>
    <t>Müük/klienditeenindus</t>
  </si>
  <si>
    <t>Finantseerimiskulu parameetrid</t>
  </si>
  <si>
    <t>Omakapitali osakaal</t>
  </si>
  <si>
    <t>Laenuintress</t>
  </si>
  <si>
    <t>Tagasimakse graafik annuiteedina (a)</t>
  </si>
  <si>
    <t>Parkimiskorrus</t>
  </si>
  <si>
    <t>Ehituskulu komponendid €/m2 km-ta ja osakaal pinnast (%)</t>
  </si>
  <si>
    <t>Üldkasutatavad pinnad</t>
  </si>
  <si>
    <t>Muud parameetrid</t>
  </si>
  <si>
    <t>Kinnistu pindala (m2)</t>
  </si>
  <si>
    <t>Arendus- ja ehituskulud kokku netopinna kohta (eur/m2)</t>
  </si>
  <si>
    <t>Arendus- ja ehituskulud kokku korteripinna kohta (eur/m2)</t>
  </si>
  <si>
    <t>Arendus- ja ehituskulud kokku korteripinna kohta (eur/m2) KM-ga</t>
  </si>
  <si>
    <t>Üüriindeks</t>
  </si>
  <si>
    <t>Täituvus</t>
  </si>
  <si>
    <t>CAPEX maksed</t>
  </si>
  <si>
    <t>KM</t>
  </si>
  <si>
    <t>Üüritulu</t>
  </si>
  <si>
    <t>NOI</t>
  </si>
  <si>
    <t>Exit</t>
  </si>
  <si>
    <t>Arenduskulud kokku netopinna kohta (eur/m2)</t>
  </si>
  <si>
    <t>Arenduskulud kokku korteripinna kohta (eur/m2)</t>
  </si>
  <si>
    <t>Ehituskulud kokku korteripinna kohta (eur/m2)</t>
  </si>
  <si>
    <t>Ehituskulud kokku netopinna kohta (eur/m2)</t>
  </si>
  <si>
    <t>Laenu väljastamine</t>
  </si>
  <si>
    <t>Laenu tagasimaksed</t>
  </si>
  <si>
    <t>Laenujääk</t>
  </si>
  <si>
    <t>Intressikulu</t>
  </si>
  <si>
    <t>Puhas rahavoog</t>
  </si>
  <si>
    <t>Kumulatiivne rahavoog</t>
  </si>
  <si>
    <t>Laenusumma kokku</t>
  </si>
  <si>
    <t>Projekti IRR</t>
  </si>
  <si>
    <t>Omakapitali IRR</t>
  </si>
  <si>
    <t>Aasta nr</t>
  </si>
  <si>
    <t>Rahavood korteri m2 kohta</t>
  </si>
  <si>
    <t>Üürihinna tõus aastas = inflatsioon</t>
  </si>
  <si>
    <t>Exit väärtus korteri m2 kohta (renoveerimiskulu = inflatsioon)</t>
  </si>
  <si>
    <t>Esimene aasta</t>
  </si>
  <si>
    <t>NOI rahavood (Exitiga)</t>
  </si>
  <si>
    <t>Arenduskulu komponendid €/m2 kogu suletud netopinna kohta km-ta</t>
  </si>
  <si>
    <r>
      <t xml:space="preserve">Esimese aasta kuuüür m2 kohta </t>
    </r>
    <r>
      <rPr>
        <b/>
        <sz val="11"/>
        <color theme="1"/>
        <rFont val="Aptos Narrow"/>
        <family val="2"/>
        <scheme val="minor"/>
      </rPr>
      <t>(muutmiseks vastavalt IRR-le)</t>
    </r>
  </si>
  <si>
    <t>Projekti kestvus (a)</t>
  </si>
  <si>
    <t>EISi kaaslaen</t>
  </si>
  <si>
    <t>Baas</t>
  </si>
  <si>
    <t>Intress</t>
  </si>
  <si>
    <t>Tagasimakse graafik</t>
  </si>
  <si>
    <t>Mõju</t>
  </si>
  <si>
    <t>Target</t>
  </si>
  <si>
    <t>Kokku</t>
  </si>
  <si>
    <t>Omakapitali vajadus max (eur)</t>
  </si>
  <si>
    <t>Omakapitali vajadus max m2 kohta</t>
  </si>
  <si>
    <t>Halduskulu esimesel kasutusaastal m2 kohta</t>
  </si>
  <si>
    <t>Kulud kokku (eur):</t>
  </si>
  <si>
    <t>Tulud kokku (eur):</t>
  </si>
  <si>
    <t>KÄIBEMAKS</t>
  </si>
  <si>
    <t>HALDUSKULU</t>
  </si>
  <si>
    <t>PANGA TOOTLUS</t>
  </si>
  <si>
    <t>OMANIKU TOOTLUS</t>
  </si>
  <si>
    <t>HOONE MÜÜK</t>
  </si>
  <si>
    <t>ARENDUSKULU</t>
  </si>
  <si>
    <t>Meetmed (sisendparameetrid)</t>
  </si>
  <si>
    <t>ÜÜRITULU</t>
  </si>
  <si>
    <t>Ei</t>
  </si>
  <si>
    <t>EISi kaaslaen võimaldab vähendada omakapitali osakaalu 10%-ni</t>
  </si>
  <si>
    <t>EISi kaaslaen aitab läbi 100% laenujäägi käendamise vähendada panga riski ja langetada intressimäära</t>
  </si>
  <si>
    <t>EISi kaaslaen võimaldab leevendada tagasimaksegraafikut</t>
  </si>
  <si>
    <t>Selgitus</t>
  </si>
  <si>
    <t>Valik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</si>
</sst>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charset val="186"/>
      <scheme val="minor"/>
    </font>
    <font>
      <sz val="8"/>
      <color theme="1"/>
      <name val="Aptos Narrow"/>
      <family val="2"/>
      <charset val="186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2" borderId="3" xfId="0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3" fillId="0" borderId="3" xfId="0" applyNumberFormat="1" applyFont="1" applyBorder="1" applyAlignment="1">
      <alignment horizontal="center" wrapText="1"/>
    </xf>
    <xf numFmtId="0" fontId="1" fillId="0" borderId="4" xfId="0" applyFont="1" applyBorder="1"/>
    <xf numFmtId="0" fontId="0" fillId="0" borderId="5" xfId="0" applyBorder="1"/>
    <xf numFmtId="0" fontId="0" fillId="0" borderId="5" xfId="0" applyBorder="1" applyAlignment="1">
      <alignment horizontal="left" wrapText="1"/>
    </xf>
    <xf numFmtId="0" fontId="1" fillId="0" borderId="5" xfId="0" applyFont="1" applyBorder="1"/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6" xfId="0" applyBorder="1"/>
    <xf numFmtId="1" fontId="0" fillId="2" borderId="3" xfId="0" applyNumberForma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9" fontId="0" fillId="0" borderId="3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7" xfId="0" applyBorder="1"/>
    <xf numFmtId="0" fontId="6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0" borderId="9" xfId="0" applyFont="1" applyBorder="1"/>
    <xf numFmtId="0" fontId="0" fillId="0" borderId="9" xfId="0" applyBorder="1"/>
    <xf numFmtId="0" fontId="0" fillId="0" borderId="10" xfId="0" applyBorder="1"/>
    <xf numFmtId="0" fontId="1" fillId="0" borderId="8" xfId="0" applyFont="1" applyBorder="1"/>
    <xf numFmtId="0" fontId="0" fillId="0" borderId="8" xfId="0" applyBorder="1"/>
    <xf numFmtId="0" fontId="6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3" xfId="0" quotePrefix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9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  <cx:data id="1">
      <cx:strDim type="cat">
        <cx:f>_xlchart.v1.1</cx:f>
      </cx:strDim>
      <cx:numDim type="val">
        <cx:f>_xlchart.v1.0</cx:f>
      </cx:numDim>
    </cx:data>
  </cx:chartData>
  <cx:chart>
    <cx:title pos="t" align="ctr" overlay="0">
      <cx:tx>
        <cx:txData>
          <cx:v>ÜÜRIHINNAS SISALDUB (EUR/M2)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t-E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ÜÜRIHINNAS SISALDUB (EUR/M2)</a:t>
          </a:r>
        </a:p>
      </cx:txPr>
    </cx:title>
    <cx:plotArea>
      <cx:plotAreaRegion>
        <cx:series layoutId="waterfall" uniqueId="{EC7B5923-DBE2-4890-93B7-779C31F90A1F}" formatIdx="0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et-EE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A80B-42C8-942D-F6413AE33CF3}" formatIdx="1">
          <cx:tx>
            <cx:txData>
              <cx:f/>
              <cx:v>ÜÜR</cx:v>
            </cx:txData>
          </cx:tx>
          <cx:dataId val="1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/>
            </a:pPr>
            <a:endParaRPr lang="et-EE" sz="11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28" min="0"/>
        <cx:majorGridlines/>
        <cx:tickLabels/>
        <cx:numFmt formatCode="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="1"/>
            </a:pPr>
            <a:endParaRPr lang="et-EE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86263</xdr:colOff>
      <xdr:row>21</xdr:row>
      <xdr:rowOff>40529</xdr:rowOff>
    </xdr:from>
    <xdr:to>
      <xdr:col>26</xdr:col>
      <xdr:colOff>93133</xdr:colOff>
      <xdr:row>44</xdr:row>
      <xdr:rowOff>125106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m 4">
              <a:extLst>
                <a:ext uri="{FF2B5EF4-FFF2-40B4-BE49-F238E27FC236}">
                  <a16:creationId xmlns:a16="http://schemas.microsoft.com/office/drawing/2014/main" id="{AF85376D-5ED5-81C5-10EC-443655FC9F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9863" y="3881009"/>
              <a:ext cx="7436370" cy="42908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See diagramm pole teie Exceli versioonis saadaval.
Kui redigeerite seda kujundit või salvestate selle töövihiku mõnes muus failivormingus, rikute diagrammi jäädavalt.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A29-EDD7-458C-B508-094D3BA1DBD0}">
  <dimension ref="B2:AV53"/>
  <sheetViews>
    <sheetView tabSelected="1" topLeftCell="G1" zoomScale="67" zoomScaleNormal="70" workbookViewId="0">
      <selection activeCell="AU29" sqref="AU29"/>
    </sheetView>
  </sheetViews>
  <sheetFormatPr defaultRowHeight="14.4" x14ac:dyDescent="0.3"/>
  <cols>
    <col min="2" max="2" width="56.88671875" customWidth="1"/>
    <col min="3" max="3" width="6.33203125" customWidth="1"/>
    <col min="4" max="4" width="7.109375" customWidth="1"/>
    <col min="5" max="5" width="13.33203125" customWidth="1"/>
    <col min="6" max="6" width="5.109375" customWidth="1"/>
    <col min="7" max="7" width="31.109375" customWidth="1"/>
    <col min="8" max="8" width="7.109375" customWidth="1"/>
    <col min="9" max="10" width="6.33203125" customWidth="1"/>
    <col min="11" max="11" width="7" customWidth="1"/>
    <col min="12" max="47" width="6.33203125" customWidth="1"/>
    <col min="48" max="48" width="13.33203125" customWidth="1"/>
  </cols>
  <sheetData>
    <row r="2" spans="2:48" x14ac:dyDescent="0.3">
      <c r="B2" s="3" t="s">
        <v>4</v>
      </c>
      <c r="C2" s="3"/>
    </row>
    <row r="3" spans="2:48" x14ac:dyDescent="0.3">
      <c r="C3" s="50" t="s">
        <v>58</v>
      </c>
      <c r="D3" s="51" t="s">
        <v>62</v>
      </c>
      <c r="E3" s="1"/>
      <c r="F3" s="1"/>
      <c r="G3" s="26" t="s">
        <v>49</v>
      </c>
    </row>
    <row r="4" spans="2:48" x14ac:dyDescent="0.3">
      <c r="B4" s="42" t="s">
        <v>16</v>
      </c>
      <c r="C4" s="46"/>
      <c r="D4" s="41"/>
      <c r="E4" s="12"/>
      <c r="F4" s="12"/>
      <c r="G4" s="27" t="s">
        <v>48</v>
      </c>
      <c r="H4" s="40">
        <v>1</v>
      </c>
      <c r="I4" s="40">
        <v>2</v>
      </c>
      <c r="J4" s="40">
        <v>3</v>
      </c>
      <c r="K4" s="40">
        <v>4</v>
      </c>
      <c r="L4" s="40">
        <v>5</v>
      </c>
      <c r="M4" s="40">
        <v>6</v>
      </c>
      <c r="N4" s="40">
        <v>7</v>
      </c>
      <c r="O4" s="40">
        <v>8</v>
      </c>
      <c r="P4" s="40">
        <v>9</v>
      </c>
      <c r="Q4" s="40">
        <v>10</v>
      </c>
      <c r="R4" s="40">
        <v>11</v>
      </c>
      <c r="S4" s="40">
        <v>12</v>
      </c>
      <c r="T4" s="40">
        <v>13</v>
      </c>
      <c r="U4" s="40">
        <v>14</v>
      </c>
      <c r="V4" s="40">
        <v>15</v>
      </c>
      <c r="W4" s="40">
        <v>16</v>
      </c>
      <c r="X4" s="40">
        <v>17</v>
      </c>
      <c r="Y4" s="40">
        <v>18</v>
      </c>
      <c r="Z4" s="40">
        <v>19</v>
      </c>
      <c r="AA4" s="40">
        <v>20</v>
      </c>
      <c r="AB4" s="40">
        <v>21</v>
      </c>
      <c r="AC4" s="40">
        <v>22</v>
      </c>
      <c r="AD4" s="40">
        <v>23</v>
      </c>
      <c r="AE4" s="40">
        <v>24</v>
      </c>
      <c r="AF4" s="40">
        <v>25</v>
      </c>
      <c r="AG4" s="40">
        <v>26</v>
      </c>
      <c r="AH4" s="40">
        <v>27</v>
      </c>
      <c r="AI4" s="40">
        <v>28</v>
      </c>
      <c r="AJ4" s="40">
        <v>29</v>
      </c>
      <c r="AK4" s="40">
        <v>30</v>
      </c>
      <c r="AL4" s="40">
        <v>31</v>
      </c>
      <c r="AM4" s="40">
        <v>32</v>
      </c>
      <c r="AN4" s="40">
        <v>33</v>
      </c>
      <c r="AO4" s="40">
        <v>34</v>
      </c>
      <c r="AP4" s="40">
        <v>35</v>
      </c>
      <c r="AQ4" s="40">
        <v>36</v>
      </c>
      <c r="AR4" s="40">
        <v>37</v>
      </c>
      <c r="AS4" s="40">
        <v>38</v>
      </c>
      <c r="AT4" s="40">
        <v>39</v>
      </c>
      <c r="AU4" s="40">
        <v>40</v>
      </c>
      <c r="AV4" s="40" t="s">
        <v>63</v>
      </c>
    </row>
    <row r="5" spans="2:48" x14ac:dyDescent="0.3">
      <c r="B5" s="43" t="s">
        <v>17</v>
      </c>
      <c r="C5" s="55">
        <v>0.5</v>
      </c>
      <c r="D5" s="38">
        <f>IF(D48="Jah",C49,C5)</f>
        <v>0.5</v>
      </c>
      <c r="E5" s="12"/>
      <c r="F5" s="12"/>
      <c r="G5" s="27" t="s">
        <v>28</v>
      </c>
      <c r="H5" s="31">
        <v>1</v>
      </c>
      <c r="I5" s="4">
        <v>1</v>
      </c>
      <c r="J5" s="4">
        <v>1</v>
      </c>
      <c r="K5" s="4">
        <v>1</v>
      </c>
      <c r="L5" s="4">
        <f t="shared" ref="L5:AU5" si="0">K5+(K5*$D$44)</f>
        <v>1.02</v>
      </c>
      <c r="M5" s="4">
        <f t="shared" si="0"/>
        <v>1.0404</v>
      </c>
      <c r="N5" s="4">
        <f t="shared" si="0"/>
        <v>1.0612079999999999</v>
      </c>
      <c r="O5" s="4">
        <f t="shared" si="0"/>
        <v>1.08243216</v>
      </c>
      <c r="P5" s="4">
        <f t="shared" si="0"/>
        <v>1.1040808032</v>
      </c>
      <c r="Q5" s="4">
        <f t="shared" si="0"/>
        <v>1.1261624192640001</v>
      </c>
      <c r="R5" s="4">
        <f t="shared" si="0"/>
        <v>1.14868566764928</v>
      </c>
      <c r="S5" s="4">
        <f t="shared" si="0"/>
        <v>1.1716593810022657</v>
      </c>
      <c r="T5" s="4">
        <f t="shared" si="0"/>
        <v>1.1950925686223111</v>
      </c>
      <c r="U5" s="4">
        <f t="shared" si="0"/>
        <v>1.2189944199947573</v>
      </c>
      <c r="V5" s="4">
        <f t="shared" si="0"/>
        <v>1.2433743083946525</v>
      </c>
      <c r="W5" s="4">
        <f t="shared" si="0"/>
        <v>1.2682417945625455</v>
      </c>
      <c r="X5" s="4">
        <f t="shared" si="0"/>
        <v>1.2936066304537963</v>
      </c>
      <c r="Y5" s="4">
        <f t="shared" si="0"/>
        <v>1.3194787630628722</v>
      </c>
      <c r="Z5" s="4">
        <f t="shared" si="0"/>
        <v>1.3458683383241297</v>
      </c>
      <c r="AA5" s="4">
        <f t="shared" si="0"/>
        <v>1.3727857050906123</v>
      </c>
      <c r="AB5" s="4">
        <f t="shared" si="0"/>
        <v>1.4002414191924246</v>
      </c>
      <c r="AC5" s="4">
        <f t="shared" si="0"/>
        <v>1.4282462475762732</v>
      </c>
      <c r="AD5" s="4">
        <f t="shared" si="0"/>
        <v>1.4568111725277986</v>
      </c>
      <c r="AE5" s="4">
        <f t="shared" si="0"/>
        <v>1.4859473959783545</v>
      </c>
      <c r="AF5" s="4">
        <f t="shared" si="0"/>
        <v>1.5156663438979217</v>
      </c>
      <c r="AG5" s="4">
        <f t="shared" si="0"/>
        <v>1.5459796707758802</v>
      </c>
      <c r="AH5" s="4">
        <f t="shared" si="0"/>
        <v>1.5768992641913977</v>
      </c>
      <c r="AI5" s="4">
        <f t="shared" si="0"/>
        <v>1.6084372494752257</v>
      </c>
      <c r="AJ5" s="4">
        <f t="shared" si="0"/>
        <v>1.6406059944647302</v>
      </c>
      <c r="AK5" s="4">
        <f t="shared" si="0"/>
        <v>1.6734181143540248</v>
      </c>
      <c r="AL5" s="4">
        <f t="shared" si="0"/>
        <v>1.7068864766411052</v>
      </c>
      <c r="AM5" s="4">
        <f t="shared" si="0"/>
        <v>1.7410242061739272</v>
      </c>
      <c r="AN5" s="4">
        <f t="shared" si="0"/>
        <v>1.7758446902974057</v>
      </c>
      <c r="AO5" s="4">
        <f t="shared" si="0"/>
        <v>1.8113615841033537</v>
      </c>
      <c r="AP5" s="4">
        <f t="shared" si="0"/>
        <v>1.8475888157854208</v>
      </c>
      <c r="AQ5" s="4">
        <f t="shared" si="0"/>
        <v>1.8845405921011291</v>
      </c>
      <c r="AR5" s="4">
        <f t="shared" si="0"/>
        <v>1.9222314039431516</v>
      </c>
      <c r="AS5" s="4">
        <f t="shared" si="0"/>
        <v>1.9606760320220147</v>
      </c>
      <c r="AT5" s="4">
        <f t="shared" si="0"/>
        <v>1.9998895526624549</v>
      </c>
      <c r="AU5" s="4">
        <f t="shared" si="0"/>
        <v>2.0398873437157041</v>
      </c>
      <c r="AV5" s="15"/>
    </row>
    <row r="6" spans="2:48" x14ac:dyDescent="0.3">
      <c r="B6" s="43" t="s">
        <v>18</v>
      </c>
      <c r="C6" s="55">
        <v>0.05</v>
      </c>
      <c r="D6" s="38">
        <f>IF(D48="Jah",C6+C50,C6)</f>
        <v>0.05</v>
      </c>
      <c r="E6" s="12"/>
      <c r="F6" s="12"/>
      <c r="G6" s="27" t="s">
        <v>29</v>
      </c>
      <c r="H6" s="38">
        <v>0</v>
      </c>
      <c r="I6" s="8">
        <v>0</v>
      </c>
      <c r="J6" s="8">
        <v>0</v>
      </c>
      <c r="K6" s="8">
        <f>1-E42</f>
        <v>0.5</v>
      </c>
      <c r="L6" s="8">
        <f t="shared" ref="L6:AU6" si="1">1-$D$42</f>
        <v>0.95</v>
      </c>
      <c r="M6" s="8">
        <f t="shared" si="1"/>
        <v>0.95</v>
      </c>
      <c r="N6" s="8">
        <f t="shared" si="1"/>
        <v>0.95</v>
      </c>
      <c r="O6" s="8">
        <f t="shared" si="1"/>
        <v>0.95</v>
      </c>
      <c r="P6" s="8">
        <f t="shared" si="1"/>
        <v>0.95</v>
      </c>
      <c r="Q6" s="8">
        <f t="shared" si="1"/>
        <v>0.95</v>
      </c>
      <c r="R6" s="8">
        <f t="shared" si="1"/>
        <v>0.95</v>
      </c>
      <c r="S6" s="8">
        <f t="shared" si="1"/>
        <v>0.95</v>
      </c>
      <c r="T6" s="8">
        <f t="shared" si="1"/>
        <v>0.95</v>
      </c>
      <c r="U6" s="8">
        <f t="shared" si="1"/>
        <v>0.95</v>
      </c>
      <c r="V6" s="8">
        <f t="shared" si="1"/>
        <v>0.95</v>
      </c>
      <c r="W6" s="8">
        <f t="shared" si="1"/>
        <v>0.95</v>
      </c>
      <c r="X6" s="8">
        <f t="shared" si="1"/>
        <v>0.95</v>
      </c>
      <c r="Y6" s="8">
        <f t="shared" si="1"/>
        <v>0.95</v>
      </c>
      <c r="Z6" s="8">
        <f t="shared" si="1"/>
        <v>0.95</v>
      </c>
      <c r="AA6" s="8">
        <f t="shared" si="1"/>
        <v>0.95</v>
      </c>
      <c r="AB6" s="8">
        <f t="shared" si="1"/>
        <v>0.95</v>
      </c>
      <c r="AC6" s="8">
        <f t="shared" si="1"/>
        <v>0.95</v>
      </c>
      <c r="AD6" s="8">
        <f t="shared" si="1"/>
        <v>0.95</v>
      </c>
      <c r="AE6" s="8">
        <f t="shared" si="1"/>
        <v>0.95</v>
      </c>
      <c r="AF6" s="8">
        <f t="shared" si="1"/>
        <v>0.95</v>
      </c>
      <c r="AG6" s="8">
        <f t="shared" si="1"/>
        <v>0.95</v>
      </c>
      <c r="AH6" s="8">
        <f t="shared" si="1"/>
        <v>0.95</v>
      </c>
      <c r="AI6" s="8">
        <f t="shared" si="1"/>
        <v>0.95</v>
      </c>
      <c r="AJ6" s="8">
        <f t="shared" si="1"/>
        <v>0.95</v>
      </c>
      <c r="AK6" s="8">
        <f t="shared" si="1"/>
        <v>0.95</v>
      </c>
      <c r="AL6" s="8">
        <f t="shared" si="1"/>
        <v>0.95</v>
      </c>
      <c r="AM6" s="8">
        <f t="shared" si="1"/>
        <v>0.95</v>
      </c>
      <c r="AN6" s="8">
        <f t="shared" si="1"/>
        <v>0.95</v>
      </c>
      <c r="AO6" s="8">
        <f t="shared" si="1"/>
        <v>0.95</v>
      </c>
      <c r="AP6" s="8">
        <f t="shared" si="1"/>
        <v>0.95</v>
      </c>
      <c r="AQ6" s="8">
        <f t="shared" si="1"/>
        <v>0.95</v>
      </c>
      <c r="AR6" s="8">
        <f t="shared" si="1"/>
        <v>0.95</v>
      </c>
      <c r="AS6" s="8">
        <f t="shared" si="1"/>
        <v>0.95</v>
      </c>
      <c r="AT6" s="8">
        <f t="shared" si="1"/>
        <v>0.95</v>
      </c>
      <c r="AU6" s="8">
        <f t="shared" si="1"/>
        <v>0.95</v>
      </c>
      <c r="AV6" s="15"/>
    </row>
    <row r="7" spans="2:48" x14ac:dyDescent="0.3">
      <c r="B7" s="43" t="s">
        <v>19</v>
      </c>
      <c r="C7" s="56">
        <v>30</v>
      </c>
      <c r="D7" s="54">
        <f>IF(D48="Jah",C7+C51,C7)</f>
        <v>30</v>
      </c>
      <c r="E7" s="14"/>
      <c r="F7" s="1"/>
      <c r="G7" s="27" t="s">
        <v>30</v>
      </c>
      <c r="H7" s="23">
        <f>-D34</f>
        <v>-157.752427184466</v>
      </c>
      <c r="I7" s="4">
        <f>-D35*0.6</f>
        <v>-1215</v>
      </c>
      <c r="J7" s="4">
        <f>-D35*0.4</f>
        <v>-810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5">
        <f>SUM(H7:AU7)</f>
        <v>-2182.7524271844659</v>
      </c>
    </row>
    <row r="8" spans="2:48" x14ac:dyDescent="0.3">
      <c r="B8" s="44" t="s">
        <v>56</v>
      </c>
      <c r="C8" s="56">
        <v>30</v>
      </c>
      <c r="D8" s="54">
        <f>C8</f>
        <v>30</v>
      </c>
      <c r="E8" s="1"/>
      <c r="F8" s="1"/>
      <c r="G8" s="27" t="s">
        <v>31</v>
      </c>
      <c r="H8" s="23">
        <f>H7*$D$12</f>
        <v>-37.860582524271841</v>
      </c>
      <c r="I8" s="5">
        <f>I7*$D$12</f>
        <v>-291.59999999999997</v>
      </c>
      <c r="J8" s="5">
        <f>J7*$D$12</f>
        <v>-194.4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5">
        <f t="shared" ref="AV8:AV19" si="2">SUM(H8:AU8)</f>
        <v>-523.86058252427176</v>
      </c>
    </row>
    <row r="9" spans="2:48" x14ac:dyDescent="0.3">
      <c r="C9" s="57"/>
      <c r="D9" s="41"/>
      <c r="F9" s="1"/>
      <c r="G9" s="27" t="s">
        <v>32</v>
      </c>
      <c r="H9" s="66">
        <f>IF(H4&lt;=$D$8,$D$45*H5*12*H6,0)</f>
        <v>0</v>
      </c>
      <c r="I9" s="66">
        <f t="shared" ref="I9:AU9" si="3">IF(I4&lt;=$D$8,$D$45*I5*12*I6,0)</f>
        <v>0</v>
      </c>
      <c r="J9" s="66">
        <f t="shared" si="3"/>
        <v>0</v>
      </c>
      <c r="K9" s="66">
        <f t="shared" si="3"/>
        <v>90</v>
      </c>
      <c r="L9" s="66">
        <f t="shared" si="3"/>
        <v>174.42000000000002</v>
      </c>
      <c r="M9" s="66">
        <f t="shared" si="3"/>
        <v>177.90839999999997</v>
      </c>
      <c r="N9" s="66">
        <f t="shared" si="3"/>
        <v>181.46656799999997</v>
      </c>
      <c r="O9" s="66">
        <f t="shared" si="3"/>
        <v>185.09589935999998</v>
      </c>
      <c r="P9" s="66">
        <f t="shared" si="3"/>
        <v>188.79781734720001</v>
      </c>
      <c r="Q9" s="66">
        <f t="shared" si="3"/>
        <v>192.57377369414402</v>
      </c>
      <c r="R9" s="66">
        <f t="shared" si="3"/>
        <v>196.42524916802691</v>
      </c>
      <c r="S9" s="66">
        <f t="shared" si="3"/>
        <v>200.35375415138745</v>
      </c>
      <c r="T9" s="66">
        <f t="shared" si="3"/>
        <v>204.36082923441518</v>
      </c>
      <c r="U9" s="66">
        <f t="shared" si="3"/>
        <v>208.44804581910347</v>
      </c>
      <c r="V9" s="66">
        <f t="shared" si="3"/>
        <v>212.61700673548555</v>
      </c>
      <c r="W9" s="66">
        <f t="shared" si="3"/>
        <v>216.86934687019527</v>
      </c>
      <c r="X9" s="66">
        <f t="shared" si="3"/>
        <v>221.20673380759919</v>
      </c>
      <c r="Y9" s="66">
        <f t="shared" si="3"/>
        <v>225.63086848375113</v>
      </c>
      <c r="Z9" s="66">
        <f t="shared" si="3"/>
        <v>230.14348585342617</v>
      </c>
      <c r="AA9" s="66">
        <f t="shared" si="3"/>
        <v>234.74635557049464</v>
      </c>
      <c r="AB9" s="66">
        <f t="shared" si="3"/>
        <v>239.4412826819046</v>
      </c>
      <c r="AC9" s="66">
        <f t="shared" si="3"/>
        <v>244.23010833554272</v>
      </c>
      <c r="AD9" s="66">
        <f t="shared" si="3"/>
        <v>249.1147105022535</v>
      </c>
      <c r="AE9" s="66">
        <f t="shared" si="3"/>
        <v>254.09700471229863</v>
      </c>
      <c r="AF9" s="66">
        <f t="shared" si="3"/>
        <v>259.17894480654456</v>
      </c>
      <c r="AG9" s="66">
        <f t="shared" si="3"/>
        <v>264.3625237026755</v>
      </c>
      <c r="AH9" s="66">
        <f t="shared" si="3"/>
        <v>269.64977417672901</v>
      </c>
      <c r="AI9" s="66">
        <f t="shared" si="3"/>
        <v>275.04276966026356</v>
      </c>
      <c r="AJ9" s="66">
        <f t="shared" si="3"/>
        <v>280.54362505346882</v>
      </c>
      <c r="AK9" s="66">
        <f t="shared" si="3"/>
        <v>286.15449755453818</v>
      </c>
      <c r="AL9" s="66">
        <f t="shared" si="3"/>
        <v>0</v>
      </c>
      <c r="AM9" s="66">
        <f t="shared" si="3"/>
        <v>0</v>
      </c>
      <c r="AN9" s="66">
        <f t="shared" si="3"/>
        <v>0</v>
      </c>
      <c r="AO9" s="66">
        <f t="shared" si="3"/>
        <v>0</v>
      </c>
      <c r="AP9" s="66">
        <f t="shared" si="3"/>
        <v>0</v>
      </c>
      <c r="AQ9" s="66">
        <f t="shared" si="3"/>
        <v>0</v>
      </c>
      <c r="AR9" s="66">
        <f t="shared" si="3"/>
        <v>0</v>
      </c>
      <c r="AS9" s="66">
        <f t="shared" si="3"/>
        <v>0</v>
      </c>
      <c r="AT9" s="66">
        <f t="shared" si="3"/>
        <v>0</v>
      </c>
      <c r="AU9" s="66">
        <f t="shared" si="3"/>
        <v>0</v>
      </c>
      <c r="AV9" s="5">
        <f t="shared" si="2"/>
        <v>5962.8793752814481</v>
      </c>
    </row>
    <row r="10" spans="2:48" x14ac:dyDescent="0.3">
      <c r="B10" s="42" t="s">
        <v>23</v>
      </c>
      <c r="C10" s="58"/>
      <c r="D10" s="52"/>
      <c r="E10" s="1"/>
      <c r="F10" s="1"/>
      <c r="G10" s="27" t="s">
        <v>13</v>
      </c>
      <c r="H10" s="24">
        <v>0</v>
      </c>
      <c r="I10" s="16">
        <v>0</v>
      </c>
      <c r="J10" s="17">
        <v>0</v>
      </c>
      <c r="K10" s="5">
        <f>-D43</f>
        <v>-50</v>
      </c>
      <c r="L10" s="5">
        <f>IF(L4&lt;=$D$8,K10+(K10*$D$44),0)</f>
        <v>-51</v>
      </c>
      <c r="M10" s="5">
        <f t="shared" ref="M10:AU10" si="4">IF(M4&lt;=$D$8,L10+(L10*$D$44),0)</f>
        <v>-52.02</v>
      </c>
      <c r="N10" s="5">
        <f t="shared" si="4"/>
        <v>-53.060400000000001</v>
      </c>
      <c r="O10" s="5">
        <f t="shared" si="4"/>
        <v>-54.121608000000002</v>
      </c>
      <c r="P10" s="5">
        <f t="shared" si="4"/>
        <v>-55.204040160000005</v>
      </c>
      <c r="Q10" s="5">
        <f t="shared" si="4"/>
        <v>-56.308120963200004</v>
      </c>
      <c r="R10" s="5">
        <f t="shared" si="4"/>
        <v>-57.434283382464002</v>
      </c>
      <c r="S10" s="5">
        <f t="shared" si="4"/>
        <v>-58.582969050113284</v>
      </c>
      <c r="T10" s="5">
        <f t="shared" si="4"/>
        <v>-59.754628431115549</v>
      </c>
      <c r="U10" s="5">
        <f t="shared" si="4"/>
        <v>-60.949720999737863</v>
      </c>
      <c r="V10" s="5">
        <f t="shared" si="4"/>
        <v>-62.168715419732621</v>
      </c>
      <c r="W10" s="5">
        <f t="shared" si="4"/>
        <v>-63.41208972812727</v>
      </c>
      <c r="X10" s="5">
        <f t="shared" si="4"/>
        <v>-64.680331522689812</v>
      </c>
      <c r="Y10" s="5">
        <f t="shared" si="4"/>
        <v>-65.973938153143607</v>
      </c>
      <c r="Z10" s="5">
        <f t="shared" si="4"/>
        <v>-67.293416916206482</v>
      </c>
      <c r="AA10" s="5">
        <f t="shared" si="4"/>
        <v>-68.639285254530606</v>
      </c>
      <c r="AB10" s="5">
        <f t="shared" si="4"/>
        <v>-70.012070959621212</v>
      </c>
      <c r="AC10" s="5">
        <f t="shared" si="4"/>
        <v>-71.412312378813638</v>
      </c>
      <c r="AD10" s="5">
        <f t="shared" si="4"/>
        <v>-72.840558626389907</v>
      </c>
      <c r="AE10" s="5">
        <f t="shared" si="4"/>
        <v>-74.2973697989177</v>
      </c>
      <c r="AF10" s="5">
        <f t="shared" si="4"/>
        <v>-75.783317194896057</v>
      </c>
      <c r="AG10" s="5">
        <f t="shared" si="4"/>
        <v>-77.298983538793976</v>
      </c>
      <c r="AH10" s="5">
        <f t="shared" si="4"/>
        <v>-78.844963209569855</v>
      </c>
      <c r="AI10" s="5">
        <f t="shared" si="4"/>
        <v>-80.421862473761252</v>
      </c>
      <c r="AJ10" s="5">
        <f t="shared" si="4"/>
        <v>-82.030299723236482</v>
      </c>
      <c r="AK10" s="5">
        <f t="shared" si="4"/>
        <v>-83.670905717701217</v>
      </c>
      <c r="AL10" s="5">
        <f t="shared" si="4"/>
        <v>0</v>
      </c>
      <c r="AM10" s="5">
        <f t="shared" si="4"/>
        <v>0</v>
      </c>
      <c r="AN10" s="5">
        <f t="shared" si="4"/>
        <v>0</v>
      </c>
      <c r="AO10" s="5">
        <f t="shared" si="4"/>
        <v>0</v>
      </c>
      <c r="AP10" s="5">
        <f t="shared" si="4"/>
        <v>0</v>
      </c>
      <c r="AQ10" s="5">
        <f t="shared" si="4"/>
        <v>0</v>
      </c>
      <c r="AR10" s="5">
        <f t="shared" si="4"/>
        <v>0</v>
      </c>
      <c r="AS10" s="5">
        <f t="shared" si="4"/>
        <v>0</v>
      </c>
      <c r="AT10" s="5">
        <f t="shared" si="4"/>
        <v>0</v>
      </c>
      <c r="AU10" s="5">
        <f t="shared" si="4"/>
        <v>0</v>
      </c>
      <c r="AV10" s="5">
        <f t="shared" si="2"/>
        <v>-1767.2161916027624</v>
      </c>
    </row>
    <row r="11" spans="2:48" x14ac:dyDescent="0.3">
      <c r="B11" s="45" t="s">
        <v>24</v>
      </c>
      <c r="C11" s="59"/>
      <c r="D11" s="31">
        <v>2086</v>
      </c>
      <c r="E11" s="11"/>
      <c r="F11" s="1"/>
      <c r="G11" s="27" t="s">
        <v>33</v>
      </c>
      <c r="H11" s="24">
        <f>H9-H10</f>
        <v>0</v>
      </c>
      <c r="I11" s="16">
        <f t="shared" ref="I11:J11" si="5">I9-I10</f>
        <v>0</v>
      </c>
      <c r="J11" s="16">
        <f t="shared" si="5"/>
        <v>0</v>
      </c>
      <c r="K11" s="5">
        <f>K9+K10</f>
        <v>40</v>
      </c>
      <c r="L11" s="5">
        <f>L9+L10</f>
        <v>123.42000000000002</v>
      </c>
      <c r="M11" s="5">
        <f t="shared" ref="M11:AU11" si="6">M9+M10</f>
        <v>125.88839999999996</v>
      </c>
      <c r="N11" s="5">
        <f t="shared" si="6"/>
        <v>128.40616799999998</v>
      </c>
      <c r="O11" s="5">
        <f t="shared" si="6"/>
        <v>130.97429135999997</v>
      </c>
      <c r="P11" s="5">
        <f t="shared" si="6"/>
        <v>133.5937771872</v>
      </c>
      <c r="Q11" s="5">
        <f t="shared" si="6"/>
        <v>136.26565273094403</v>
      </c>
      <c r="R11" s="5">
        <f t="shared" si="6"/>
        <v>138.99096578556291</v>
      </c>
      <c r="S11" s="5">
        <f t="shared" si="6"/>
        <v>141.77078510127416</v>
      </c>
      <c r="T11" s="5">
        <f t="shared" si="6"/>
        <v>144.60620080329963</v>
      </c>
      <c r="U11" s="5">
        <f t="shared" si="6"/>
        <v>147.49832481936562</v>
      </c>
      <c r="V11" s="5">
        <f t="shared" si="6"/>
        <v>150.44829131575293</v>
      </c>
      <c r="W11" s="5">
        <f t="shared" si="6"/>
        <v>153.45725714206799</v>
      </c>
      <c r="X11" s="5">
        <f t="shared" si="6"/>
        <v>156.52640228490938</v>
      </c>
      <c r="Y11" s="5">
        <f t="shared" si="6"/>
        <v>159.65693033060751</v>
      </c>
      <c r="Z11" s="5">
        <f t="shared" si="6"/>
        <v>162.8500689372197</v>
      </c>
      <c r="AA11" s="5">
        <f t="shared" si="6"/>
        <v>166.10707031596405</v>
      </c>
      <c r="AB11" s="5">
        <f t="shared" si="6"/>
        <v>169.42921172228338</v>
      </c>
      <c r="AC11" s="5">
        <f t="shared" si="6"/>
        <v>172.81779595672907</v>
      </c>
      <c r="AD11" s="5">
        <f t="shared" si="6"/>
        <v>176.27415187586359</v>
      </c>
      <c r="AE11" s="5">
        <f t="shared" si="6"/>
        <v>179.79963491338094</v>
      </c>
      <c r="AF11" s="5">
        <f t="shared" si="6"/>
        <v>183.39562761164851</v>
      </c>
      <c r="AG11" s="5">
        <f t="shared" si="6"/>
        <v>187.06354016388153</v>
      </c>
      <c r="AH11" s="5">
        <f t="shared" si="6"/>
        <v>190.80481096715914</v>
      </c>
      <c r="AI11" s="5">
        <f t="shared" si="6"/>
        <v>194.62090718650231</v>
      </c>
      <c r="AJ11" s="5">
        <f t="shared" si="6"/>
        <v>198.51332533023233</v>
      </c>
      <c r="AK11" s="5">
        <f t="shared" si="6"/>
        <v>202.48359183683698</v>
      </c>
      <c r="AL11" s="5">
        <f t="shared" si="6"/>
        <v>0</v>
      </c>
      <c r="AM11" s="5">
        <f t="shared" si="6"/>
        <v>0</v>
      </c>
      <c r="AN11" s="5">
        <f t="shared" si="6"/>
        <v>0</v>
      </c>
      <c r="AO11" s="5">
        <f t="shared" si="6"/>
        <v>0</v>
      </c>
      <c r="AP11" s="5">
        <f t="shared" si="6"/>
        <v>0</v>
      </c>
      <c r="AQ11" s="5">
        <f t="shared" si="6"/>
        <v>0</v>
      </c>
      <c r="AR11" s="5">
        <f t="shared" si="6"/>
        <v>0</v>
      </c>
      <c r="AS11" s="5">
        <f t="shared" si="6"/>
        <v>0</v>
      </c>
      <c r="AT11" s="5">
        <f t="shared" si="6"/>
        <v>0</v>
      </c>
      <c r="AU11" s="5">
        <f t="shared" si="6"/>
        <v>0</v>
      </c>
      <c r="AV11" s="5">
        <f t="shared" si="2"/>
        <v>4195.6631836786855</v>
      </c>
    </row>
    <row r="12" spans="2:48" x14ac:dyDescent="0.3">
      <c r="B12" s="43" t="s">
        <v>0</v>
      </c>
      <c r="C12" s="60"/>
      <c r="D12" s="22">
        <v>0.24</v>
      </c>
      <c r="E12" s="1"/>
      <c r="F12" s="1"/>
      <c r="G12" s="28" t="s">
        <v>34</v>
      </c>
      <c r="H12" s="31">
        <f>IF($D$8=H4, $D$38, 0)</f>
        <v>0</v>
      </c>
      <c r="I12" s="31">
        <f t="shared" ref="I12:AU12" si="7">IF($D$8=I4, $D$38, 0)</f>
        <v>0</v>
      </c>
      <c r="J12" s="31">
        <f t="shared" si="7"/>
        <v>0</v>
      </c>
      <c r="K12" s="31">
        <f t="shared" si="7"/>
        <v>0</v>
      </c>
      <c r="L12" s="31">
        <f t="shared" si="7"/>
        <v>0</v>
      </c>
      <c r="M12" s="31">
        <f t="shared" si="7"/>
        <v>0</v>
      </c>
      <c r="N12" s="31">
        <f t="shared" si="7"/>
        <v>0</v>
      </c>
      <c r="O12" s="31">
        <f t="shared" si="7"/>
        <v>0</v>
      </c>
      <c r="P12" s="31">
        <f t="shared" si="7"/>
        <v>0</v>
      </c>
      <c r="Q12" s="31">
        <f t="shared" si="7"/>
        <v>0</v>
      </c>
      <c r="R12" s="31">
        <f t="shared" si="7"/>
        <v>0</v>
      </c>
      <c r="S12" s="31">
        <f t="shared" si="7"/>
        <v>0</v>
      </c>
      <c r="T12" s="31">
        <f t="shared" si="7"/>
        <v>0</v>
      </c>
      <c r="U12" s="31">
        <f t="shared" si="7"/>
        <v>0</v>
      </c>
      <c r="V12" s="31">
        <f t="shared" si="7"/>
        <v>0</v>
      </c>
      <c r="W12" s="31">
        <f t="shared" si="7"/>
        <v>0</v>
      </c>
      <c r="X12" s="31">
        <f t="shared" si="7"/>
        <v>0</v>
      </c>
      <c r="Y12" s="31">
        <f t="shared" si="7"/>
        <v>0</v>
      </c>
      <c r="Z12" s="31">
        <f t="shared" si="7"/>
        <v>0</v>
      </c>
      <c r="AA12" s="31">
        <f t="shared" si="7"/>
        <v>0</v>
      </c>
      <c r="AB12" s="31">
        <f t="shared" si="7"/>
        <v>0</v>
      </c>
      <c r="AC12" s="31">
        <f t="shared" si="7"/>
        <v>0</v>
      </c>
      <c r="AD12" s="31">
        <f t="shared" si="7"/>
        <v>0</v>
      </c>
      <c r="AE12" s="31">
        <f t="shared" si="7"/>
        <v>0</v>
      </c>
      <c r="AF12" s="31">
        <f t="shared" si="7"/>
        <v>0</v>
      </c>
      <c r="AG12" s="31">
        <f t="shared" si="7"/>
        <v>0</v>
      </c>
      <c r="AH12" s="31">
        <f t="shared" si="7"/>
        <v>0</v>
      </c>
      <c r="AI12" s="31">
        <f t="shared" si="7"/>
        <v>0</v>
      </c>
      <c r="AJ12" s="31">
        <f t="shared" si="7"/>
        <v>0</v>
      </c>
      <c r="AK12" s="31">
        <f t="shared" si="7"/>
        <v>2706.6130097087375</v>
      </c>
      <c r="AL12" s="31">
        <f t="shared" si="7"/>
        <v>0</v>
      </c>
      <c r="AM12" s="31">
        <f t="shared" si="7"/>
        <v>0</v>
      </c>
      <c r="AN12" s="31">
        <f t="shared" si="7"/>
        <v>0</v>
      </c>
      <c r="AO12" s="31">
        <f t="shared" si="7"/>
        <v>0</v>
      </c>
      <c r="AP12" s="31">
        <f t="shared" si="7"/>
        <v>0</v>
      </c>
      <c r="AQ12" s="31">
        <f t="shared" si="7"/>
        <v>0</v>
      </c>
      <c r="AR12" s="31">
        <f t="shared" si="7"/>
        <v>0</v>
      </c>
      <c r="AS12" s="31">
        <f t="shared" si="7"/>
        <v>0</v>
      </c>
      <c r="AT12" s="31">
        <f t="shared" si="7"/>
        <v>0</v>
      </c>
      <c r="AU12" s="31">
        <f t="shared" si="7"/>
        <v>0</v>
      </c>
      <c r="AV12" s="5">
        <f t="shared" si="2"/>
        <v>2706.6130097087375</v>
      </c>
    </row>
    <row r="13" spans="2:48" x14ac:dyDescent="0.3">
      <c r="B13" s="46" t="s">
        <v>5</v>
      </c>
      <c r="C13" s="4"/>
      <c r="D13" s="21">
        <v>40</v>
      </c>
      <c r="E13" s="1"/>
      <c r="F13" s="1"/>
      <c r="G13" s="29" t="s">
        <v>53</v>
      </c>
      <c r="H13" s="23">
        <f>IF(H4&lt;=$D$8,H7+H8+H11+H12,0)</f>
        <v>-195.61300970873785</v>
      </c>
      <c r="I13" s="23">
        <f t="shared" ref="I13:AU13" si="8">IF(I4&lt;=$D$8,I7+I8+I11+I12,0)</f>
        <v>-1506.6</v>
      </c>
      <c r="J13" s="23">
        <f t="shared" si="8"/>
        <v>-1004.4</v>
      </c>
      <c r="K13" s="23">
        <f t="shared" si="8"/>
        <v>40</v>
      </c>
      <c r="L13" s="23">
        <f t="shared" si="8"/>
        <v>123.42000000000002</v>
      </c>
      <c r="M13" s="23">
        <f t="shared" si="8"/>
        <v>125.88839999999996</v>
      </c>
      <c r="N13" s="23">
        <f t="shared" si="8"/>
        <v>128.40616799999998</v>
      </c>
      <c r="O13" s="23">
        <f t="shared" si="8"/>
        <v>130.97429135999997</v>
      </c>
      <c r="P13" s="23">
        <f t="shared" si="8"/>
        <v>133.5937771872</v>
      </c>
      <c r="Q13" s="23">
        <f t="shared" si="8"/>
        <v>136.26565273094403</v>
      </c>
      <c r="R13" s="23">
        <f t="shared" si="8"/>
        <v>138.99096578556291</v>
      </c>
      <c r="S13" s="23">
        <f t="shared" si="8"/>
        <v>141.77078510127416</v>
      </c>
      <c r="T13" s="23">
        <f t="shared" si="8"/>
        <v>144.60620080329963</v>
      </c>
      <c r="U13" s="23">
        <f t="shared" si="8"/>
        <v>147.49832481936562</v>
      </c>
      <c r="V13" s="23">
        <f t="shared" si="8"/>
        <v>150.44829131575293</v>
      </c>
      <c r="W13" s="23">
        <f t="shared" si="8"/>
        <v>153.45725714206799</v>
      </c>
      <c r="X13" s="23">
        <f t="shared" si="8"/>
        <v>156.52640228490938</v>
      </c>
      <c r="Y13" s="23">
        <f t="shared" si="8"/>
        <v>159.65693033060751</v>
      </c>
      <c r="Z13" s="23">
        <f t="shared" si="8"/>
        <v>162.8500689372197</v>
      </c>
      <c r="AA13" s="23">
        <f t="shared" si="8"/>
        <v>166.10707031596405</v>
      </c>
      <c r="AB13" s="23">
        <f t="shared" si="8"/>
        <v>169.42921172228338</v>
      </c>
      <c r="AC13" s="23">
        <f t="shared" si="8"/>
        <v>172.81779595672907</v>
      </c>
      <c r="AD13" s="23">
        <f t="shared" si="8"/>
        <v>176.27415187586359</v>
      </c>
      <c r="AE13" s="23">
        <f t="shared" si="8"/>
        <v>179.79963491338094</v>
      </c>
      <c r="AF13" s="23">
        <f t="shared" si="8"/>
        <v>183.39562761164851</v>
      </c>
      <c r="AG13" s="23">
        <f t="shared" si="8"/>
        <v>187.06354016388153</v>
      </c>
      <c r="AH13" s="23">
        <f t="shared" si="8"/>
        <v>190.80481096715914</v>
      </c>
      <c r="AI13" s="23">
        <f t="shared" si="8"/>
        <v>194.62090718650231</v>
      </c>
      <c r="AJ13" s="23">
        <f t="shared" si="8"/>
        <v>198.51332533023233</v>
      </c>
      <c r="AK13" s="23">
        <f t="shared" si="8"/>
        <v>2909.0966015455747</v>
      </c>
      <c r="AL13" s="23">
        <f t="shared" si="8"/>
        <v>0</v>
      </c>
      <c r="AM13" s="23">
        <f t="shared" si="8"/>
        <v>0</v>
      </c>
      <c r="AN13" s="23">
        <f t="shared" si="8"/>
        <v>0</v>
      </c>
      <c r="AO13" s="23">
        <f t="shared" si="8"/>
        <v>0</v>
      </c>
      <c r="AP13" s="23">
        <f t="shared" si="8"/>
        <v>0</v>
      </c>
      <c r="AQ13" s="23">
        <f t="shared" si="8"/>
        <v>0</v>
      </c>
      <c r="AR13" s="23">
        <f t="shared" si="8"/>
        <v>0</v>
      </c>
      <c r="AS13" s="23">
        <f t="shared" si="8"/>
        <v>0</v>
      </c>
      <c r="AT13" s="23">
        <f t="shared" si="8"/>
        <v>0</v>
      </c>
      <c r="AU13" s="23">
        <f t="shared" si="8"/>
        <v>0</v>
      </c>
      <c r="AV13" s="5">
        <f t="shared" si="2"/>
        <v>4195.6631836786855</v>
      </c>
    </row>
    <row r="14" spans="2:48" x14ac:dyDescent="0.3">
      <c r="B14" s="46" t="s">
        <v>6</v>
      </c>
      <c r="C14" s="4"/>
      <c r="D14" s="21">
        <v>51.5</v>
      </c>
      <c r="E14" s="1"/>
      <c r="F14" s="1"/>
      <c r="G14" s="27" t="s">
        <v>39</v>
      </c>
      <c r="H14" s="23">
        <f>-H13*(1-D5)</f>
        <v>97.806504854368924</v>
      </c>
      <c r="I14" s="5">
        <f>-I13*(1-D5)</f>
        <v>753.3</v>
      </c>
      <c r="J14" s="5">
        <f>-J13*(1-D5)</f>
        <v>502.2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5">
        <f t="shared" si="2"/>
        <v>1353.3065048543688</v>
      </c>
    </row>
    <row r="15" spans="2:48" x14ac:dyDescent="0.3">
      <c r="B15" s="46" t="s">
        <v>7</v>
      </c>
      <c r="C15" s="4"/>
      <c r="D15" s="31">
        <f>D13*D14</f>
        <v>2060</v>
      </c>
      <c r="E15" s="1"/>
      <c r="F15" s="1"/>
      <c r="G15" s="27" t="s">
        <v>45</v>
      </c>
      <c r="H15" s="23">
        <f>SUM(H14:AK14)</f>
        <v>1353.3065048543688</v>
      </c>
      <c r="I15" s="15"/>
      <c r="J15" s="15"/>
      <c r="K15" s="1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5">
        <f t="shared" si="2"/>
        <v>1353.3065048543688</v>
      </c>
    </row>
    <row r="16" spans="2:48" x14ac:dyDescent="0.3">
      <c r="B16" s="47" t="s">
        <v>12</v>
      </c>
      <c r="C16" s="4"/>
      <c r="D16" s="23">
        <f>D15/E27</f>
        <v>2575</v>
      </c>
      <c r="E16" s="1"/>
      <c r="F16" s="1"/>
      <c r="G16" s="27" t="s">
        <v>40</v>
      </c>
      <c r="H16" s="23"/>
      <c r="I16" s="5"/>
      <c r="J16" s="5"/>
      <c r="K16" s="5">
        <f>IF(K4=$D$8,-J17,IF(K4&gt;$D$8,0,IF(K4&lt;=$D$7,PPMT($D$6,H4,($D$7-$J$4),$J$17),0)))</f>
        <v>-24.754492943481168</v>
      </c>
      <c r="L16" s="5">
        <f t="shared" ref="L16:N16" si="9">IF(L4=$D$8,-K17,IF(L4&gt;$D$8,0,IF(L4&lt;=$D$7,PPMT($D$6,I4,($D$7-$J$4),$J$17),0)))</f>
        <v>-25.992217590655226</v>
      </c>
      <c r="M16" s="5">
        <f t="shared" si="9"/>
        <v>-27.291828470187983</v>
      </c>
      <c r="N16" s="5">
        <f t="shared" si="9"/>
        <v>-28.65641989369739</v>
      </c>
      <c r="O16" s="5">
        <f t="shared" ref="O16" si="10">IF(O4=$D$8,-N17,IF(O4&gt;$D$8,0,IF(O4&lt;=$D$7,PPMT($D$6,L4,($D$7-$J$4),$J$17),0)))</f>
        <v>-30.089240888382257</v>
      </c>
      <c r="P16" s="5">
        <f t="shared" ref="P16:Q16" si="11">IF(P4=$D$8,-O17,IF(P4&gt;$D$8,0,IF(P4&lt;=$D$7,PPMT($D$6,M4,($D$7-$J$4),$J$17),0)))</f>
        <v>-31.593702932801364</v>
      </c>
      <c r="Q16" s="5">
        <f t="shared" si="11"/>
        <v>-33.173388079441438</v>
      </c>
      <c r="R16" s="5">
        <f t="shared" ref="R16" si="12">IF(R4=$D$8,-Q17,IF(R4&gt;$D$8,0,IF(R4&lt;=$D$7,PPMT($D$6,O4,($D$7-$J$4),$J$17),0)))</f>
        <v>-34.832057483413507</v>
      </c>
      <c r="S16" s="5">
        <f t="shared" ref="S16:T16" si="13">IF(S4=$D$8,-R17,IF(S4&gt;$D$8,0,IF(S4&lt;=$D$7,PPMT($D$6,P4,($D$7-$J$4),$J$17),0)))</f>
        <v>-36.573660357584188</v>
      </c>
      <c r="T16" s="5">
        <f t="shared" si="13"/>
        <v>-38.402343375463396</v>
      </c>
      <c r="U16" s="5">
        <f t="shared" ref="U16" si="14">IF(U4=$D$8,-T17,IF(U4&gt;$D$8,0,IF(U4&lt;=$D$7,PPMT($D$6,R4,($D$7-$J$4),$J$17),0)))</f>
        <v>-40.322460544236563</v>
      </c>
      <c r="V16" s="5">
        <f t="shared" ref="V16:W16" si="15">IF(V4=$D$8,-U17,IF(V4&gt;$D$8,0,IF(V4&lt;=$D$7,PPMT($D$6,S4,($D$7-$J$4),$J$17),0)))</f>
        <v>-42.338583571448396</v>
      </c>
      <c r="W16" s="5">
        <f t="shared" si="15"/>
        <v>-44.455512750020816</v>
      </c>
      <c r="X16" s="5">
        <f t="shared" ref="X16" si="16">IF(X4=$D$8,-W17,IF(X4&gt;$D$8,0,IF(X4&lt;=$D$7,PPMT($D$6,U4,($D$7-$J$4),$J$17),0)))</f>
        <v>-46.67828838752186</v>
      </c>
      <c r="Y16" s="5">
        <f t="shared" ref="Y16:Z16" si="17">IF(Y4=$D$8,-X17,IF(Y4&gt;$D$8,0,IF(Y4&lt;=$D$7,PPMT($D$6,V4,($D$7-$J$4),$J$17),0)))</f>
        <v>-49.012202806897953</v>
      </c>
      <c r="Z16" s="5">
        <f t="shared" si="17"/>
        <v>-51.46281294724286</v>
      </c>
      <c r="AA16" s="5">
        <f t="shared" ref="AA16" si="18">IF(AA4=$D$8,-Z17,IF(AA4&gt;$D$8,0,IF(AA4&lt;=$D$7,PPMT($D$6,X4,($D$7-$J$4),$J$17),0)))</f>
        <v>-54.03595359460499</v>
      </c>
      <c r="AB16" s="5">
        <f t="shared" ref="AB16:AC16" si="19">IF(AB4=$D$8,-AA17,IF(AB4&gt;$D$8,0,IF(AB4&lt;=$D$7,PPMT($D$6,Y4,($D$7-$J$4),$J$17),0)))</f>
        <v>-56.737751274335245</v>
      </c>
      <c r="AC16" s="5">
        <f t="shared" si="19"/>
        <v>-59.574638838052003</v>
      </c>
      <c r="AD16" s="5">
        <f t="shared" ref="AD16" si="20">IF(AD4=$D$8,-AC17,IF(AD4&gt;$D$8,0,IF(AD4&lt;=$D$7,PPMT($D$6,AA4,($D$7-$J$4),$J$17),0)))</f>
        <v>-62.553370779954598</v>
      </c>
      <c r="AE16" s="5">
        <f t="shared" ref="AE16:AF16" si="21">IF(AE4=$D$8,-AD17,IF(AE4&gt;$D$8,0,IF(AE4&lt;=$D$7,PPMT($D$6,AB4,($D$7-$J$4),$J$17),0)))</f>
        <v>-65.68103931895233</v>
      </c>
      <c r="AF16" s="5">
        <f t="shared" si="21"/>
        <v>-68.965091284899955</v>
      </c>
      <c r="AG16" s="5">
        <f t="shared" ref="AG16" si="22">IF(AG4=$D$8,-AF17,IF(AG4&gt;$D$8,0,IF(AG4&lt;=$D$7,PPMT($D$6,AD4,($D$7-$J$4),$J$17),0)))</f>
        <v>-72.413345849144946</v>
      </c>
      <c r="AH16" s="5">
        <f t="shared" ref="AH16:AI16" si="23">IF(AH4=$D$8,-AG17,IF(AH4&gt;$D$8,0,IF(AH4&lt;=$D$7,PPMT($D$6,AE4,($D$7-$J$4),$J$17),0)))</f>
        <v>-76.034013141602202</v>
      </c>
      <c r="AI16" s="5">
        <f t="shared" si="23"/>
        <v>-79.83571379868232</v>
      </c>
      <c r="AJ16" s="5">
        <f t="shared" ref="AJ16" si="24">IF(AJ4=$D$8,-AI17,IF(AJ4&gt;$D$8,0,IF(AJ4&lt;=$D$7,PPMT($D$6,AG4,($D$7-$J$4),$J$17),0)))</f>
        <v>-83.827499488616425</v>
      </c>
      <c r="AK16" s="5">
        <f t="shared" ref="AK16:AL16" si="25">IF(AK4=$D$8,-AJ17,IF(AK4&gt;$D$8,0,IF(AK4&lt;=$D$7,PPMT($D$6,AH4,($D$7-$J$4),$J$17),0)))</f>
        <v>-88.018874463047709</v>
      </c>
      <c r="AL16" s="5">
        <f t="shared" si="25"/>
        <v>0</v>
      </c>
      <c r="AM16" s="5">
        <f t="shared" ref="AM16" si="26">IF(AM4=$D$8,-AL17,IF(AM4&gt;$D$8,0,IF(AM4&lt;=$D$7,PPMT($D$6,AJ4,($D$7-$J$4),$J$17),0)))</f>
        <v>0</v>
      </c>
      <c r="AN16" s="5">
        <f t="shared" ref="AN16:AO16" si="27">IF(AN4=$D$8,-AM17,IF(AN4&gt;$D$8,0,IF(AN4&lt;=$D$7,PPMT($D$6,AK4,($D$7-$J$4),$J$17),0)))</f>
        <v>0</v>
      </c>
      <c r="AO16" s="5">
        <f t="shared" si="27"/>
        <v>0</v>
      </c>
      <c r="AP16" s="5">
        <f t="shared" ref="AP16" si="28">IF(AP4=$D$8,-AO17,IF(AP4&gt;$D$8,0,IF(AP4&lt;=$D$7,PPMT($D$6,AM4,($D$7-$J$4),$J$17),0)))</f>
        <v>0</v>
      </c>
      <c r="AQ16" s="5">
        <f t="shared" ref="AQ16:AR16" si="29">IF(AQ4=$D$8,-AP17,IF(AQ4&gt;$D$8,0,IF(AQ4&lt;=$D$7,PPMT($D$6,AN4,($D$7-$J$4),$J$17),0)))</f>
        <v>0</v>
      </c>
      <c r="AR16" s="5">
        <f t="shared" si="29"/>
        <v>0</v>
      </c>
      <c r="AS16" s="5">
        <f t="shared" ref="AS16" si="30">IF(AS4=$D$8,-AR17,IF(AS4&gt;$D$8,0,IF(AS4&lt;=$D$7,PPMT($D$6,AP4,($D$7-$J$4),$J$17),0)))</f>
        <v>0</v>
      </c>
      <c r="AT16" s="5">
        <f t="shared" ref="AT16:AU16" si="31">IF(AT4=$D$8,-AS17,IF(AT4&gt;$D$8,0,IF(AT4&lt;=$D$7,PPMT($D$6,AQ4,($D$7-$J$4),$J$17),0)))</f>
        <v>0</v>
      </c>
      <c r="AU16" s="5">
        <f t="shared" si="31"/>
        <v>0</v>
      </c>
      <c r="AV16" s="5">
        <f t="shared" si="2"/>
        <v>-1353.3065048543688</v>
      </c>
    </row>
    <row r="17" spans="2:48" x14ac:dyDescent="0.3">
      <c r="B17" s="13"/>
      <c r="C17" s="61"/>
      <c r="D17" s="52"/>
      <c r="E17" s="1"/>
      <c r="F17" s="1"/>
      <c r="G17" s="27" t="s">
        <v>41</v>
      </c>
      <c r="H17" s="23">
        <f>H14+H16</f>
        <v>97.806504854368924</v>
      </c>
      <c r="I17" s="5">
        <f>H17+I14+I16</f>
        <v>851.10650485436884</v>
      </c>
      <c r="J17" s="5">
        <f>I17+J14+J16</f>
        <v>1353.3065048543688</v>
      </c>
      <c r="K17" s="5">
        <f>J17+K14+K16</f>
        <v>1328.5520119108876</v>
      </c>
      <c r="L17" s="5">
        <f t="shared" ref="L17:AK17" si="32">K17+L14+L16</f>
        <v>1302.5597943202324</v>
      </c>
      <c r="M17" s="5">
        <f t="shared" si="32"/>
        <v>1275.2679658500444</v>
      </c>
      <c r="N17" s="5">
        <f t="shared" si="32"/>
        <v>1246.6115459563471</v>
      </c>
      <c r="O17" s="5">
        <f t="shared" si="32"/>
        <v>1216.5223050679649</v>
      </c>
      <c r="P17" s="5">
        <f t="shared" si="32"/>
        <v>1184.9286021351636</v>
      </c>
      <c r="Q17" s="5">
        <f t="shared" si="32"/>
        <v>1151.7552140557223</v>
      </c>
      <c r="R17" s="5">
        <f t="shared" si="32"/>
        <v>1116.9231565723087</v>
      </c>
      <c r="S17" s="5">
        <f t="shared" si="32"/>
        <v>1080.3494962147245</v>
      </c>
      <c r="T17" s="5">
        <f t="shared" si="32"/>
        <v>1041.947152839261</v>
      </c>
      <c r="U17" s="5">
        <f t="shared" si="32"/>
        <v>1001.6246922950244</v>
      </c>
      <c r="V17" s="5">
        <f t="shared" si="32"/>
        <v>959.28610872357604</v>
      </c>
      <c r="W17" s="5">
        <f t="shared" si="32"/>
        <v>914.83059597355521</v>
      </c>
      <c r="X17" s="5">
        <f t="shared" si="32"/>
        <v>868.15230758603332</v>
      </c>
      <c r="Y17" s="5">
        <f t="shared" si="32"/>
        <v>819.14010477913541</v>
      </c>
      <c r="Z17" s="5">
        <f t="shared" si="32"/>
        <v>767.6772918318926</v>
      </c>
      <c r="AA17" s="5">
        <f t="shared" si="32"/>
        <v>713.64133823728764</v>
      </c>
      <c r="AB17" s="5">
        <f t="shared" si="32"/>
        <v>656.90358696295243</v>
      </c>
      <c r="AC17" s="5">
        <f t="shared" si="32"/>
        <v>597.32894812490042</v>
      </c>
      <c r="AD17" s="5">
        <f t="shared" si="32"/>
        <v>534.77557734494587</v>
      </c>
      <c r="AE17" s="5">
        <f t="shared" si="32"/>
        <v>469.09453802599353</v>
      </c>
      <c r="AF17" s="5">
        <f t="shared" si="32"/>
        <v>400.1294467410936</v>
      </c>
      <c r="AG17" s="5">
        <f t="shared" si="32"/>
        <v>327.71610089194866</v>
      </c>
      <c r="AH17" s="5">
        <f t="shared" si="32"/>
        <v>251.68208775034645</v>
      </c>
      <c r="AI17" s="5">
        <f t="shared" si="32"/>
        <v>171.84637395166413</v>
      </c>
      <c r="AJ17" s="5">
        <f t="shared" si="32"/>
        <v>88.018874463047709</v>
      </c>
      <c r="AK17" s="5">
        <f t="shared" si="32"/>
        <v>0</v>
      </c>
      <c r="AL17" s="5">
        <f t="shared" ref="AL17" si="33">AK17+AL14+AL16</f>
        <v>0</v>
      </c>
      <c r="AM17" s="5">
        <f t="shared" ref="AM17" si="34">AL17+AM14+AM16</f>
        <v>0</v>
      </c>
      <c r="AN17" s="5">
        <f t="shared" ref="AN17" si="35">AM17+AN14+AN16</f>
        <v>0</v>
      </c>
      <c r="AO17" s="5">
        <f t="shared" ref="AO17" si="36">AN17+AO14+AO16</f>
        <v>0</v>
      </c>
      <c r="AP17" s="5">
        <f t="shared" ref="AP17" si="37">AO17+AP14+AP16</f>
        <v>0</v>
      </c>
      <c r="AQ17" s="5">
        <f t="shared" ref="AQ17" si="38">AP17+AQ14+AQ16</f>
        <v>0</v>
      </c>
      <c r="AR17" s="5">
        <f t="shared" ref="AR17" si="39">AQ17+AR14+AR16</f>
        <v>0</v>
      </c>
      <c r="AS17" s="5">
        <f t="shared" ref="AS17" si="40">AR17+AS14+AS16</f>
        <v>0</v>
      </c>
      <c r="AT17" s="5">
        <f t="shared" ref="AT17" si="41">AS17+AT14+AT16</f>
        <v>0</v>
      </c>
      <c r="AU17" s="5">
        <f t="shared" ref="AU17" si="42">AT17+AU14+AU16</f>
        <v>0</v>
      </c>
      <c r="AV17" s="5"/>
    </row>
    <row r="18" spans="2:48" x14ac:dyDescent="0.3">
      <c r="B18" s="48" t="s">
        <v>54</v>
      </c>
      <c r="C18" s="62"/>
      <c r="D18" s="41"/>
      <c r="F18" s="1"/>
      <c r="G18" s="27" t="s">
        <v>42</v>
      </c>
      <c r="H18" s="23">
        <f>-H17*$D$6</f>
        <v>-4.8903252427184469</v>
      </c>
      <c r="I18" s="5">
        <f t="shared" ref="I18:K18" si="43">-I17*$D$6</f>
        <v>-42.555325242718446</v>
      </c>
      <c r="J18" s="5">
        <f t="shared" si="43"/>
        <v>-67.665325242718438</v>
      </c>
      <c r="K18" s="5">
        <f t="shared" si="43"/>
        <v>-66.427600595544376</v>
      </c>
      <c r="L18" s="5">
        <f t="shared" ref="L18" si="44">-L17*$D$6</f>
        <v>-65.127989716011626</v>
      </c>
      <c r="M18" s="5">
        <f t="shared" ref="M18" si="45">-M17*$D$6</f>
        <v>-63.763398292502224</v>
      </c>
      <c r="N18" s="5">
        <f t="shared" ref="N18" si="46">-N17*$D$6</f>
        <v>-62.330577297817356</v>
      </c>
      <c r="O18" s="5">
        <f t="shared" ref="O18" si="47">-O17*$D$6</f>
        <v>-60.82611525339825</v>
      </c>
      <c r="P18" s="5">
        <f t="shared" ref="P18" si="48">-P17*$D$6</f>
        <v>-59.246430106758183</v>
      </c>
      <c r="Q18" s="5">
        <f t="shared" ref="Q18" si="49">-Q17*$D$6</f>
        <v>-57.587760702786113</v>
      </c>
      <c r="R18" s="5">
        <f t="shared" ref="R18" si="50">-R17*$D$6</f>
        <v>-55.846157828615439</v>
      </c>
      <c r="S18" s="5">
        <f t="shared" ref="S18" si="51">-S17*$D$6</f>
        <v>-54.017474810736225</v>
      </c>
      <c r="T18" s="5">
        <f t="shared" ref="T18" si="52">-T17*$D$6</f>
        <v>-52.09735764196305</v>
      </c>
      <c r="U18" s="5">
        <f t="shared" ref="U18" si="53">-U17*$D$6</f>
        <v>-50.081234614751224</v>
      </c>
      <c r="V18" s="5">
        <f t="shared" ref="V18" si="54">-V17*$D$6</f>
        <v>-47.964305436178805</v>
      </c>
      <c r="W18" s="5">
        <f t="shared" ref="W18" si="55">-W17*$D$6</f>
        <v>-45.74152979867776</v>
      </c>
      <c r="X18" s="5">
        <f t="shared" ref="X18" si="56">-X17*$D$6</f>
        <v>-43.407615379301667</v>
      </c>
      <c r="Y18" s="5">
        <f t="shared" ref="Y18" si="57">-Y17*$D$6</f>
        <v>-40.957005238956775</v>
      </c>
      <c r="Z18" s="5">
        <f t="shared" ref="Z18" si="58">-Z17*$D$6</f>
        <v>-38.38386459159463</v>
      </c>
      <c r="AA18" s="5">
        <f t="shared" ref="AA18" si="59">-AA17*$D$6</f>
        <v>-35.682066911864382</v>
      </c>
      <c r="AB18" s="5">
        <f t="shared" ref="AB18" si="60">-AB17*$D$6</f>
        <v>-32.845179348147624</v>
      </c>
      <c r="AC18" s="5">
        <f t="shared" ref="AC18" si="61">-AC17*$D$6</f>
        <v>-29.866447406245022</v>
      </c>
      <c r="AD18" s="5">
        <f t="shared" ref="AD18" si="62">-AD17*$D$6</f>
        <v>-26.738778867247294</v>
      </c>
      <c r="AE18" s="5">
        <f t="shared" ref="AE18" si="63">-AE17*$D$6</f>
        <v>-23.454726901299679</v>
      </c>
      <c r="AF18" s="5">
        <f t="shared" ref="AF18" si="64">-AF17*$D$6</f>
        <v>-20.006472337054682</v>
      </c>
      <c r="AG18" s="5">
        <f t="shared" ref="AG18" si="65">-AG17*$D$6</f>
        <v>-16.385805044597433</v>
      </c>
      <c r="AH18" s="5">
        <f t="shared" ref="AH18" si="66">-AH17*$D$6</f>
        <v>-12.584104387517323</v>
      </c>
      <c r="AI18" s="5">
        <f t="shared" ref="AI18" si="67">-AI17*$D$6</f>
        <v>-8.5923186975832078</v>
      </c>
      <c r="AJ18" s="5">
        <f t="shared" ref="AJ18" si="68">-AJ17*$D$6</f>
        <v>-4.4009437231523858</v>
      </c>
      <c r="AK18" s="5">
        <f t="shared" ref="AK18:AU18" si="69">-AK17*$D$6</f>
        <v>0</v>
      </c>
      <c r="AL18" s="5">
        <f t="shared" si="69"/>
        <v>0</v>
      </c>
      <c r="AM18" s="5">
        <f t="shared" si="69"/>
        <v>0</v>
      </c>
      <c r="AN18" s="5">
        <f t="shared" si="69"/>
        <v>0</v>
      </c>
      <c r="AO18" s="5">
        <f t="shared" si="69"/>
        <v>0</v>
      </c>
      <c r="AP18" s="5">
        <f t="shared" si="69"/>
        <v>0</v>
      </c>
      <c r="AQ18" s="5">
        <f t="shared" si="69"/>
        <v>0</v>
      </c>
      <c r="AR18" s="5">
        <f t="shared" si="69"/>
        <v>0</v>
      </c>
      <c r="AS18" s="5">
        <f t="shared" si="69"/>
        <v>0</v>
      </c>
      <c r="AT18" s="5">
        <f t="shared" si="69"/>
        <v>0</v>
      </c>
      <c r="AU18" s="5">
        <f t="shared" si="69"/>
        <v>0</v>
      </c>
      <c r="AV18" s="5">
        <f t="shared" si="2"/>
        <v>-1189.4742366584576</v>
      </c>
    </row>
    <row r="19" spans="2:48" x14ac:dyDescent="0.3">
      <c r="B19" s="45" t="s">
        <v>9</v>
      </c>
      <c r="C19" s="59"/>
      <c r="D19" s="21">
        <v>20</v>
      </c>
      <c r="E19" s="11"/>
      <c r="F19" s="1"/>
      <c r="G19" s="28" t="s">
        <v>43</v>
      </c>
      <c r="H19" s="5">
        <f t="shared" ref="H19:R19" si="70">IF(H4&lt;=$D$8,(H13+H14+H16+H18),0)</f>
        <v>-102.69683009708737</v>
      </c>
      <c r="I19" s="5">
        <f t="shared" si="70"/>
        <v>-795.85532524271844</v>
      </c>
      <c r="J19" s="5">
        <f t="shared" si="70"/>
        <v>-569.86532524271843</v>
      </c>
      <c r="K19" s="5">
        <f t="shared" si="70"/>
        <v>-51.182093539025544</v>
      </c>
      <c r="L19" s="5">
        <f t="shared" si="70"/>
        <v>32.29979269333316</v>
      </c>
      <c r="M19" s="5">
        <f t="shared" si="70"/>
        <v>34.833173237309758</v>
      </c>
      <c r="N19" s="5">
        <f t="shared" si="70"/>
        <v>37.419170808485234</v>
      </c>
      <c r="O19" s="5">
        <f t="shared" si="70"/>
        <v>40.058935218219467</v>
      </c>
      <c r="P19" s="5">
        <f t="shared" si="70"/>
        <v>42.753644147640458</v>
      </c>
      <c r="Q19" s="5">
        <f t="shared" si="70"/>
        <v>45.504503948716476</v>
      </c>
      <c r="R19" s="5">
        <f t="shared" si="70"/>
        <v>48.31275047353396</v>
      </c>
      <c r="S19" s="5">
        <f>IF(S4&lt;=$D$8,(S13+S14+S16+S18),0)</f>
        <v>51.179649932953744</v>
      </c>
      <c r="T19" s="5">
        <f t="shared" ref="T19" si="71">IF(T4&lt;=$D$8,(T13+T14+T16+T18),0)</f>
        <v>54.106499785873176</v>
      </c>
      <c r="U19" s="5">
        <f t="shared" ref="U19" si="72">IF(U4&lt;=$D$8,(U13+U14+U16+U18),0)</f>
        <v>57.094629660377834</v>
      </c>
      <c r="V19" s="5">
        <f t="shared" ref="V19" si="73">IF(V4&lt;=$D$8,(V13+V14+V16+V18),0)</f>
        <v>60.145402308125725</v>
      </c>
      <c r="W19" s="5">
        <f t="shared" ref="W19" si="74">IF(W4&lt;=$D$8,(W13+W14+W16+W18),0)</f>
        <v>63.260214593369412</v>
      </c>
      <c r="X19" s="5">
        <f t="shared" ref="X19" si="75">IF(X4&lt;=$D$8,(X13+X14+X16+X18),0)</f>
        <v>66.44049851808586</v>
      </c>
      <c r="Y19" s="5">
        <f t="shared" ref="Y19" si="76">IF(Y4&lt;=$D$8,(Y13+Y14+Y16+Y18),0)</f>
        <v>69.687722284752766</v>
      </c>
      <c r="Z19" s="5">
        <f t="shared" ref="Z19" si="77">IF(Z4&lt;=$D$8,(Z13+Z14+Z16+Z18),0)</f>
        <v>73.003391398382206</v>
      </c>
      <c r="AA19" s="5">
        <f t="shared" ref="AA19" si="78">IF(AA4&lt;=$D$8,(AA13+AA14+AA16+AA18),0)</f>
        <v>76.389049809494679</v>
      </c>
      <c r="AB19" s="5">
        <f t="shared" ref="AB19" si="79">IF(AB4&lt;=$D$8,(AB13+AB14+AB16+AB18),0)</f>
        <v>79.846281099800521</v>
      </c>
      <c r="AC19" s="5">
        <f t="shared" ref="AC19" si="80">IF(AC4&lt;=$D$8,(AC13+AC14+AC16+AC18),0)</f>
        <v>83.376709712432046</v>
      </c>
      <c r="AD19" s="5">
        <f t="shared" ref="AD19:AE19" si="81">IF(AD4&lt;=$D$8,(AD13+AD14+AD16+AD18),0)</f>
        <v>86.982002228661699</v>
      </c>
      <c r="AE19" s="5">
        <f t="shared" si="81"/>
        <v>90.663868693128933</v>
      </c>
      <c r="AF19" s="5">
        <f t="shared" ref="AF19" si="82">IF(AF4&lt;=$D$8,(AF13+AF14+AF16+AF18),0)</f>
        <v>94.424063989693877</v>
      </c>
      <c r="AG19" s="5">
        <f t="shared" ref="AG19" si="83">IF(AG4&lt;=$D$8,(AG13+AG14+AG16+AG18),0)</f>
        <v>98.264389270139148</v>
      </c>
      <c r="AH19" s="5">
        <f t="shared" ref="AH19" si="84">IF(AH4&lt;=$D$8,(AH13+AH14+AH16+AH18),0)</f>
        <v>102.18669343803961</v>
      </c>
      <c r="AI19" s="5">
        <f t="shared" ref="AI19" si="85">IF(AI4&lt;=$D$8,(AI13+AI14+AI16+AI18),0)</f>
        <v>106.19287469023678</v>
      </c>
      <c r="AJ19" s="5">
        <f t="shared" ref="AJ19" si="86">IF(AJ4&lt;=$D$8,(AJ13+AJ14+AJ16+AJ18),0)</f>
        <v>110.28488211846353</v>
      </c>
      <c r="AK19" s="5">
        <f t="shared" ref="AK19" si="87">IF(AK4&lt;=$D$8,(AK13+AK14+AK16+AK18),0)</f>
        <v>2821.077727082527</v>
      </c>
      <c r="AL19" s="5">
        <f t="shared" ref="AL19" si="88">IF(AL4&lt;=$D$8,(AL13+AL14+AL16+AL18),0)</f>
        <v>0</v>
      </c>
      <c r="AM19" s="5">
        <f t="shared" ref="AM19" si="89">IF(AM4&lt;=$D$8,(AM13+AM14+AM16+AM18),0)</f>
        <v>0</v>
      </c>
      <c r="AN19" s="5">
        <f t="shared" ref="AN19" si="90">IF(AN4&lt;=$D$8,(AN13+AN14+AN16+AN18),0)</f>
        <v>0</v>
      </c>
      <c r="AO19" s="5">
        <f t="shared" ref="AO19" si="91">IF(AO4&lt;=$D$8,(AO13+AO14+AO16+AO18),0)</f>
        <v>0</v>
      </c>
      <c r="AP19" s="5">
        <f t="shared" ref="AP19:AQ19" si="92">IF(AP4&lt;=$D$8,(AP13+AP14+AP16+AP18),0)</f>
        <v>0</v>
      </c>
      <c r="AQ19" s="5">
        <f t="shared" si="92"/>
        <v>0</v>
      </c>
      <c r="AR19" s="5">
        <f t="shared" ref="AR19" si="93">IF(AR4&lt;=$D$8,(AR13+AR14+AR16+AR18),0)</f>
        <v>0</v>
      </c>
      <c r="AS19" s="5">
        <f t="shared" ref="AS19" si="94">IF(AS4&lt;=$D$8,(AS13+AS14+AS16+AS18),0)</f>
        <v>0</v>
      </c>
      <c r="AT19" s="5">
        <f t="shared" ref="AT19" si="95">IF(AT4&lt;=$D$8,(AT13+AT14+AT16+AT18),0)</f>
        <v>0</v>
      </c>
      <c r="AU19" s="5">
        <f t="shared" ref="AU19" si="96">IF(AU4&lt;=$D$8,(AU13+AU14+AU16+AU18),0)</f>
        <v>0</v>
      </c>
      <c r="AV19" s="5">
        <f t="shared" si="2"/>
        <v>3006.1889470202268</v>
      </c>
    </row>
    <row r="20" spans="2:48" x14ac:dyDescent="0.3">
      <c r="B20" s="46" t="s">
        <v>10</v>
      </c>
      <c r="C20" s="4"/>
      <c r="D20" s="23">
        <f>D19*D11/D16</f>
        <v>16.201941747572814</v>
      </c>
      <c r="E20" s="2"/>
      <c r="F20" s="1"/>
      <c r="G20" s="30" t="s">
        <v>44</v>
      </c>
      <c r="H20" s="25">
        <f>IF(H4&lt;=$D$8,SUM($H$19:H19),0)</f>
        <v>-102.69683009708737</v>
      </c>
      <c r="I20" s="18">
        <f>IF(I4&lt;=$D$8,SUM($H$19:I19),0)</f>
        <v>-898.55215533980584</v>
      </c>
      <c r="J20" s="18">
        <f>IF(J4&lt;=$D$8,SUM($H$19:J19),0)</f>
        <v>-1468.4174805825241</v>
      </c>
      <c r="K20" s="18">
        <f>IF(K4&lt;=$D$8,SUM($H$19:K19),0)</f>
        <v>-1519.5995741215497</v>
      </c>
      <c r="L20" s="18">
        <f>IF(L4&lt;=$D$8,SUM($H$19:L19),0)</f>
        <v>-1487.2997814282166</v>
      </c>
      <c r="M20" s="18">
        <f>IF(M4&lt;=$D$8,SUM($H$19:M19),0)</f>
        <v>-1452.466608190907</v>
      </c>
      <c r="N20" s="18">
        <f>IF(N4&lt;=$D$8,SUM($H$19:N19),0)</f>
        <v>-1415.0474373824218</v>
      </c>
      <c r="O20" s="18">
        <f>IF(O4&lt;=$D$8,SUM($H$19:O19),0)</f>
        <v>-1374.9885021642024</v>
      </c>
      <c r="P20" s="18">
        <f>IF(P4&lt;=$D$8,SUM($H$19:P19),0)</f>
        <v>-1332.2348580165619</v>
      </c>
      <c r="Q20" s="18">
        <f>IF(Q4&lt;=$D$8,SUM($H$19:Q19),0)</f>
        <v>-1286.7303540678454</v>
      </c>
      <c r="R20" s="18">
        <f>IF(R4&lt;=$D$8,SUM($H$19:R19),0)</f>
        <v>-1238.4176035943115</v>
      </c>
      <c r="S20" s="18">
        <f>IF(S4&lt;=$D$8,SUM($H$19:S19),0)</f>
        <v>-1187.2379536613578</v>
      </c>
      <c r="T20" s="18">
        <f>IF(T4&lt;=$D$8,SUM($H$19:T19),0)</f>
        <v>-1133.1314538754846</v>
      </c>
      <c r="U20" s="18">
        <f>IF(U4&lt;=$D$8,SUM($H$19:U19),0)</f>
        <v>-1076.0368242151067</v>
      </c>
      <c r="V20" s="18">
        <f>IF(V4&lt;=$D$8,SUM($H$19:V19),0)</f>
        <v>-1015.8914219069809</v>
      </c>
      <c r="W20" s="18">
        <f>IF(W4&lt;=$D$8,SUM($H$19:W19),0)</f>
        <v>-952.63120731361153</v>
      </c>
      <c r="X20" s="18">
        <f>IF(X4&lt;=$D$8,SUM($H$19:X19),0)</f>
        <v>-886.19070879552567</v>
      </c>
      <c r="Y20" s="18">
        <f>IF(Y4&lt;=$D$8,SUM($H$19:Y19),0)</f>
        <v>-816.50298651077287</v>
      </c>
      <c r="Z20" s="18">
        <f>IF(Z4&lt;=$D$8,SUM($H$19:Z19),0)</f>
        <v>-743.49959511239069</v>
      </c>
      <c r="AA20" s="18">
        <f>IF(AA4&lt;=$D$8,SUM($H$19:AA19),0)</f>
        <v>-667.11054530289607</v>
      </c>
      <c r="AB20" s="18">
        <f>IF(AB4&lt;=$D$8,SUM($H$19:AB19),0)</f>
        <v>-587.26426420309554</v>
      </c>
      <c r="AC20" s="18">
        <f>IF(AC4&lt;=$D$8,SUM($H$19:AC19),0)</f>
        <v>-503.88755449066349</v>
      </c>
      <c r="AD20" s="18">
        <f>IF(AD4&lt;=$D$8,SUM($H$19:AD19),0)</f>
        <v>-416.90555226200178</v>
      </c>
      <c r="AE20" s="18">
        <f>IF(AE4&lt;=$D$8,SUM($H$19:AE19),0)</f>
        <v>-326.24168356887287</v>
      </c>
      <c r="AF20" s="18">
        <f>IF(AF4&lt;=$D$8,SUM($H$19:AF19),0)</f>
        <v>-231.817619579179</v>
      </c>
      <c r="AG20" s="18">
        <f>IF(AG4&lt;=$D$8,SUM($H$19:AG19),0)</f>
        <v>-133.55323030903986</v>
      </c>
      <c r="AH20" s="18">
        <f>IF(AH4&lt;=$D$8,SUM($H$19:AH19),0)</f>
        <v>-31.36653687100025</v>
      </c>
      <c r="AI20" s="18">
        <f>IF(AI4&lt;=$D$8,SUM($H$19:AI19),0)</f>
        <v>74.826337819236528</v>
      </c>
      <c r="AJ20" s="18">
        <f>IF(AJ4&lt;=$D$8,SUM($H$19:AJ19),0)</f>
        <v>185.11121993770007</v>
      </c>
      <c r="AK20" s="18">
        <f>IF(AK4&lt;=$D$8,SUM($H$19:AK19),0)</f>
        <v>3006.1889470202268</v>
      </c>
      <c r="AL20" s="18">
        <f>IF(AL4&lt;=$D$8,SUM($H$19:AL19),0)</f>
        <v>0</v>
      </c>
      <c r="AM20" s="18">
        <f>IF(AM4&lt;=$D$8,SUM($H$19:AM19),0)</f>
        <v>0</v>
      </c>
      <c r="AN20" s="18">
        <f>IF(AN4&lt;=$D$8,SUM($H$19:AN19),0)</f>
        <v>0</v>
      </c>
      <c r="AO20" s="18">
        <f>IF(AO4&lt;=$D$8,SUM($H$19:AO19),0)</f>
        <v>0</v>
      </c>
      <c r="AP20" s="18">
        <f>IF(AP4&lt;=$D$8,SUM($H$19:AP19),0)</f>
        <v>0</v>
      </c>
      <c r="AQ20" s="18">
        <f>IF(AQ4&lt;=$D$8,SUM($H$19:AQ19),0)</f>
        <v>0</v>
      </c>
      <c r="AR20" s="18">
        <f>IF(AR4&lt;=$D$8,SUM($H$19:AR19),0)</f>
        <v>0</v>
      </c>
      <c r="AS20" s="18">
        <f>IF(AS4&lt;=$D$8,SUM($H$19:AS19),0)</f>
        <v>0</v>
      </c>
      <c r="AT20" s="18">
        <f>IF(AT4&lt;=$D$8,SUM($H$19:AT19),0)</f>
        <v>0</v>
      </c>
      <c r="AU20" s="18">
        <f>IF(AU4&lt;=$D$8,SUM($H$19:AU19),0)</f>
        <v>0</v>
      </c>
      <c r="AV20" s="5"/>
    </row>
    <row r="21" spans="2:48" x14ac:dyDescent="0.3">
      <c r="B21" s="46" t="s">
        <v>2</v>
      </c>
      <c r="C21" s="4"/>
      <c r="D21" s="21">
        <v>80</v>
      </c>
      <c r="E21" s="1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2:48" x14ac:dyDescent="0.3">
      <c r="B22" s="46" t="s">
        <v>1</v>
      </c>
      <c r="C22" s="4"/>
      <c r="D22" s="21">
        <v>10</v>
      </c>
      <c r="E22" s="1"/>
      <c r="F22" s="1"/>
      <c r="G22" s="35" t="s">
        <v>65</v>
      </c>
      <c r="H22" s="5">
        <f>-MIN(H20:AU20)</f>
        <v>1519.5995741215497</v>
      </c>
      <c r="I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48" x14ac:dyDescent="0.3">
      <c r="B23" s="46" t="s">
        <v>3</v>
      </c>
      <c r="C23" s="4"/>
      <c r="D23" s="21">
        <v>20</v>
      </c>
      <c r="E23" s="11"/>
      <c r="F23" s="1"/>
      <c r="G23" s="36" t="s">
        <v>46</v>
      </c>
      <c r="H23" s="10">
        <f>IRR(H13:AU13)</f>
        <v>5.0769825235344124E-2</v>
      </c>
      <c r="I23" s="20"/>
      <c r="J23" s="2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2:48" x14ac:dyDescent="0.3">
      <c r="B24" s="47" t="s">
        <v>15</v>
      </c>
      <c r="C24" s="4"/>
      <c r="D24" s="21">
        <v>0</v>
      </c>
      <c r="E24" s="11"/>
      <c r="F24" s="1"/>
      <c r="G24" s="37" t="s">
        <v>47</v>
      </c>
      <c r="H24" s="39">
        <f>IRR(H19:AU19)</f>
        <v>4.9902447314608578E-2</v>
      </c>
      <c r="I24" s="20"/>
      <c r="J24" s="2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2:48" x14ac:dyDescent="0.3">
      <c r="C25" s="57"/>
      <c r="D25" s="52"/>
      <c r="E25" s="11"/>
      <c r="G25" s="19"/>
      <c r="H25" s="20"/>
    </row>
    <row r="26" spans="2:48" x14ac:dyDescent="0.3">
      <c r="B26" s="48" t="s">
        <v>21</v>
      </c>
      <c r="C26" s="62"/>
      <c r="D26" s="41"/>
      <c r="F26" s="7"/>
      <c r="G26" s="71" t="s">
        <v>64</v>
      </c>
      <c r="H26" s="77">
        <f>H22*D15</f>
        <v>3130375.1226903927</v>
      </c>
      <c r="I26" s="77"/>
      <c r="J26" s="7"/>
    </row>
    <row r="27" spans="2:48" x14ac:dyDescent="0.3">
      <c r="B27" s="46" t="s">
        <v>11</v>
      </c>
      <c r="C27" s="4"/>
      <c r="D27" s="21">
        <v>1700</v>
      </c>
      <c r="E27" s="22">
        <v>0.8</v>
      </c>
      <c r="F27" s="7"/>
      <c r="J27" s="7"/>
    </row>
    <row r="28" spans="2:48" x14ac:dyDescent="0.3">
      <c r="B28" s="46" t="s">
        <v>22</v>
      </c>
      <c r="C28" s="4"/>
      <c r="D28" s="21">
        <v>1300</v>
      </c>
      <c r="E28" s="22">
        <v>0.2</v>
      </c>
      <c r="F28" s="11"/>
      <c r="G28" s="68" t="s">
        <v>74</v>
      </c>
      <c r="H28" s="77">
        <f>-AV7*D15</f>
        <v>4496470</v>
      </c>
      <c r="I28" s="77"/>
      <c r="J28" s="12">
        <f>H28/$H$33</f>
        <v>0.25177395979533318</v>
      </c>
      <c r="K28" s="12">
        <f>J28*$J$37</f>
        <v>0.33037771706580049</v>
      </c>
      <c r="L28" s="75">
        <f>$D$45*K28</f>
        <v>4.955665755987007</v>
      </c>
    </row>
    <row r="29" spans="2:48" x14ac:dyDescent="0.3">
      <c r="B29" s="47" t="s">
        <v>20</v>
      </c>
      <c r="C29" s="4"/>
      <c r="D29" s="21">
        <v>1000</v>
      </c>
      <c r="E29" s="38">
        <f>1-(E27+E28)</f>
        <v>0</v>
      </c>
      <c r="F29" s="11"/>
      <c r="G29" s="67" t="s">
        <v>69</v>
      </c>
      <c r="H29" s="77">
        <f>-AV8*D15</f>
        <v>1079152.7999999998</v>
      </c>
      <c r="I29" s="77"/>
      <c r="J29" s="12">
        <f t="shared" ref="J29:J32" si="97">H29/$H$33</f>
        <v>6.042575035087995E-2</v>
      </c>
      <c r="K29" s="12">
        <f t="shared" ref="K29:K32" si="98">J29*$J$37</f>
        <v>7.92906520957921E-2</v>
      </c>
      <c r="L29" s="75">
        <f t="shared" ref="L29:L35" si="99">$D$45*K29</f>
        <v>1.1893597814368815</v>
      </c>
    </row>
    <row r="30" spans="2:48" x14ac:dyDescent="0.3">
      <c r="C30" s="57"/>
      <c r="D30" s="52"/>
      <c r="E30" s="1"/>
      <c r="G30" s="67" t="s">
        <v>70</v>
      </c>
      <c r="H30" s="77">
        <f>-AV10*D15</f>
        <v>3640465.3547016904</v>
      </c>
      <c r="I30" s="77"/>
      <c r="J30" s="12">
        <f t="shared" si="97"/>
        <v>0.20384309866427813</v>
      </c>
      <c r="K30" s="12">
        <f t="shared" si="98"/>
        <v>0.26748285498257168</v>
      </c>
      <c r="L30" s="75">
        <f t="shared" si="99"/>
        <v>4.0122428247385749</v>
      </c>
    </row>
    <row r="31" spans="2:48" x14ac:dyDescent="0.3">
      <c r="B31" s="49" t="s">
        <v>35</v>
      </c>
      <c r="C31" s="4"/>
      <c r="D31" s="5">
        <f>D20+D21+D22+D23+D24</f>
        <v>126.20194174757282</v>
      </c>
      <c r="E31" s="1"/>
      <c r="G31" s="67" t="s">
        <v>71</v>
      </c>
      <c r="H31" s="77">
        <f>-AV18*D15</f>
        <v>2450316.9275164227</v>
      </c>
      <c r="I31" s="77"/>
      <c r="J31" s="12">
        <f t="shared" si="97"/>
        <v>0.13720229326434827</v>
      </c>
      <c r="K31" s="12">
        <f t="shared" si="98"/>
        <v>0.18003680945287351</v>
      </c>
      <c r="L31" s="75">
        <f t="shared" si="99"/>
        <v>2.7005521417931027</v>
      </c>
    </row>
    <row r="32" spans="2:48" x14ac:dyDescent="0.3">
      <c r="B32" s="46" t="s">
        <v>38</v>
      </c>
      <c r="C32" s="4"/>
      <c r="D32" s="5">
        <f>(D27*E27)+(D28*E28)+(D29*E29)</f>
        <v>1620</v>
      </c>
      <c r="E32" s="1"/>
      <c r="G32" s="69" t="s">
        <v>72</v>
      </c>
      <c r="H32" s="77">
        <f>AV19*D15</f>
        <v>6192749.2308616675</v>
      </c>
      <c r="I32" s="77"/>
      <c r="J32" s="12">
        <f t="shared" si="97"/>
        <v>0.3467548979251604</v>
      </c>
      <c r="K32" s="12">
        <f t="shared" si="98"/>
        <v>0.45501167654917518</v>
      </c>
      <c r="L32" s="75">
        <f t="shared" si="99"/>
        <v>6.8251751482376282</v>
      </c>
    </row>
    <row r="33" spans="2:47" x14ac:dyDescent="0.3">
      <c r="B33" s="46" t="s">
        <v>25</v>
      </c>
      <c r="C33" s="4"/>
      <c r="D33" s="5">
        <f>D31+D32</f>
        <v>1746.2019417475728</v>
      </c>
      <c r="E33" s="1"/>
      <c r="F33" s="1"/>
      <c r="G33" s="72" t="s">
        <v>67</v>
      </c>
      <c r="H33" s="77">
        <f>SUM(H28:I32)</f>
        <v>17859154.313079782</v>
      </c>
      <c r="I33" s="77"/>
      <c r="J33" s="12"/>
      <c r="K33" s="12"/>
      <c r="L33" s="75"/>
    </row>
    <row r="34" spans="2:47" x14ac:dyDescent="0.3">
      <c r="B34" s="46" t="s">
        <v>36</v>
      </c>
      <c r="C34" s="4"/>
      <c r="D34" s="5">
        <f>D31/E27</f>
        <v>157.752427184466</v>
      </c>
      <c r="E34" s="1"/>
      <c r="F34" s="1"/>
      <c r="G34" s="70" t="s">
        <v>76</v>
      </c>
      <c r="H34" s="77">
        <f>AV9*D15</f>
        <v>12283531.513079783</v>
      </c>
      <c r="I34" s="77"/>
      <c r="J34" s="12"/>
      <c r="K34" s="12"/>
      <c r="L34" s="75"/>
    </row>
    <row r="35" spans="2:47" x14ac:dyDescent="0.3">
      <c r="B35" s="46" t="s">
        <v>37</v>
      </c>
      <c r="C35" s="4"/>
      <c r="D35" s="5">
        <f>D32/E27</f>
        <v>2025</v>
      </c>
      <c r="E35" s="1"/>
      <c r="F35" s="1"/>
      <c r="G35" s="70" t="s">
        <v>73</v>
      </c>
      <c r="H35" s="77">
        <f>AV12*D15</f>
        <v>5575622.7999999989</v>
      </c>
      <c r="I35" s="77"/>
      <c r="J35" s="12">
        <f>-H35/$H$33</f>
        <v>-0.31219971014621306</v>
      </c>
      <c r="K35" s="12">
        <f>J35</f>
        <v>-0.31219971014621306</v>
      </c>
      <c r="L35" s="75">
        <f t="shared" si="99"/>
        <v>-4.6829956521931955</v>
      </c>
    </row>
    <row r="36" spans="2:47" x14ac:dyDescent="0.3">
      <c r="B36" s="46" t="s">
        <v>26</v>
      </c>
      <c r="C36" s="4"/>
      <c r="D36" s="5">
        <f>D34+D35</f>
        <v>2182.7524271844659</v>
      </c>
      <c r="E36" s="1"/>
      <c r="F36" s="1"/>
      <c r="G36" s="73" t="s">
        <v>68</v>
      </c>
      <c r="H36" s="77">
        <f>H34+H35</f>
        <v>17859154.313079782</v>
      </c>
      <c r="I36" s="77"/>
      <c r="K36" s="20"/>
      <c r="L36" s="1"/>
    </row>
    <row r="37" spans="2:47" x14ac:dyDescent="0.3">
      <c r="B37" s="46" t="s">
        <v>0</v>
      </c>
      <c r="C37" s="4"/>
      <c r="D37" s="5">
        <f>D36*D12</f>
        <v>523.86058252427176</v>
      </c>
      <c r="E37" s="1"/>
      <c r="F37" s="1"/>
      <c r="J37" s="74">
        <f>J28+J29+J30+J31+J32+-J35</f>
        <v>1.3121997101462131</v>
      </c>
    </row>
    <row r="38" spans="2:47" x14ac:dyDescent="0.3">
      <c r="B38" s="46" t="s">
        <v>27</v>
      </c>
      <c r="C38" s="4"/>
      <c r="D38" s="5">
        <f>D36+D37</f>
        <v>2706.6130097087375</v>
      </c>
      <c r="E38" s="1"/>
      <c r="F38" s="1"/>
    </row>
    <row r="39" spans="2:47" x14ac:dyDescent="0.3">
      <c r="B39" s="47" t="s">
        <v>51</v>
      </c>
      <c r="C39" s="4"/>
      <c r="D39" s="5">
        <f>D38</f>
        <v>2706.6130097087375</v>
      </c>
      <c r="E39" s="1"/>
      <c r="F39" s="1"/>
    </row>
    <row r="40" spans="2:47" x14ac:dyDescent="0.3">
      <c r="B40" s="6"/>
      <c r="C40" s="63"/>
      <c r="D40" s="53"/>
      <c r="E40" s="1"/>
      <c r="F40" s="1"/>
    </row>
    <row r="41" spans="2:47" x14ac:dyDescent="0.3">
      <c r="B41" s="48" t="s">
        <v>8</v>
      </c>
      <c r="C41" s="62"/>
      <c r="D41" s="53"/>
      <c r="E41" s="1" t="s">
        <v>52</v>
      </c>
      <c r="F41" s="1"/>
    </row>
    <row r="42" spans="2:47" x14ac:dyDescent="0.3">
      <c r="B42" s="46" t="s">
        <v>14</v>
      </c>
      <c r="C42" s="4"/>
      <c r="D42" s="22">
        <v>0.05</v>
      </c>
      <c r="E42" s="22">
        <v>0.5</v>
      </c>
      <c r="F42" s="9"/>
    </row>
    <row r="43" spans="2:47" x14ac:dyDescent="0.3">
      <c r="B43" s="46" t="s">
        <v>66</v>
      </c>
      <c r="C43" s="4"/>
      <c r="D43" s="33">
        <v>50</v>
      </c>
      <c r="E43" s="11"/>
      <c r="F43" s="9"/>
    </row>
    <row r="44" spans="2:47" x14ac:dyDescent="0.3">
      <c r="B44" s="46" t="s">
        <v>50</v>
      </c>
      <c r="C44" s="4"/>
      <c r="D44" s="22">
        <v>0.02</v>
      </c>
      <c r="F44" s="1"/>
      <c r="AU44">
        <f t="shared" ref="AU44" si="100">AU9*0.24</f>
        <v>0</v>
      </c>
    </row>
    <row r="45" spans="2:47" x14ac:dyDescent="0.3">
      <c r="B45" s="47" t="s">
        <v>55</v>
      </c>
      <c r="C45" s="4"/>
      <c r="D45" s="34">
        <v>15</v>
      </c>
      <c r="F45" s="1"/>
    </row>
    <row r="47" spans="2:47" x14ac:dyDescent="0.3">
      <c r="B47" s="19" t="s">
        <v>75</v>
      </c>
      <c r="C47" s="76" t="s">
        <v>61</v>
      </c>
      <c r="D47" s="76" t="s">
        <v>82</v>
      </c>
      <c r="E47" s="76" t="s">
        <v>81</v>
      </c>
    </row>
    <row r="48" spans="2:47" x14ac:dyDescent="0.3">
      <c r="B48" s="26" t="s">
        <v>57</v>
      </c>
      <c r="C48" s="4"/>
      <c r="D48" s="64" t="s">
        <v>77</v>
      </c>
    </row>
    <row r="49" spans="2:5" x14ac:dyDescent="0.3">
      <c r="B49" s="27" t="s">
        <v>17</v>
      </c>
      <c r="C49" s="65">
        <v>0.1</v>
      </c>
      <c r="D49" s="4"/>
      <c r="E49" t="s">
        <v>78</v>
      </c>
    </row>
    <row r="50" spans="2:5" x14ac:dyDescent="0.3">
      <c r="B50" s="27" t="s">
        <v>59</v>
      </c>
      <c r="C50" s="65">
        <v>-0.01</v>
      </c>
      <c r="D50" s="4"/>
      <c r="E50" t="s">
        <v>79</v>
      </c>
    </row>
    <row r="51" spans="2:5" x14ac:dyDescent="0.3">
      <c r="B51" s="32" t="s">
        <v>60</v>
      </c>
      <c r="C51" s="64">
        <v>5</v>
      </c>
      <c r="D51" s="4"/>
      <c r="E51" t="s">
        <v>80</v>
      </c>
    </row>
    <row r="53" spans="2:5" x14ac:dyDescent="0.3">
      <c r="C53" s="1"/>
      <c r="D53" s="1"/>
    </row>
  </sheetData>
  <mergeCells count="10">
    <mergeCell ref="H26:I26"/>
    <mergeCell ref="H35:I35"/>
    <mergeCell ref="H36:I36"/>
    <mergeCell ref="H29:I29"/>
    <mergeCell ref="H32:I32"/>
    <mergeCell ref="H28:I28"/>
    <mergeCell ref="H33:I33"/>
    <mergeCell ref="H34:I34"/>
    <mergeCell ref="H31:I31"/>
    <mergeCell ref="H30:I30"/>
  </mergeCells>
  <conditionalFormatting sqref="F42:F4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{FEA18AC3-16C2-4CCD-A8E6-783C60DCAE1C}</x14:id>
        </ext>
      </extLst>
    </cfRule>
  </conditionalFormatting>
  <dataValidations disablePrompts="1" count="1">
    <dataValidation type="list" allowBlank="1" showInputMessage="1" showErrorMessage="1" sqref="D48" xr:uid="{5A51AC92-474D-4BBA-8597-E37B7D976E46}">
      <formula1>"Jah,Ei"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A18AC3-16C2-4CCD-A8E6-783C60DCAE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F42:F43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Spinnakeri mudel</vt:lpstr>
    </vt:vector>
  </TitlesOfParts>
  <Company>KeMIT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Jaanisoo</dc:creator>
  <cp:lastModifiedBy>Ivo Jaanisoo</cp:lastModifiedBy>
  <dcterms:created xsi:type="dcterms:W3CDTF">2026-02-11T09:22:02Z</dcterms:created>
  <dcterms:modified xsi:type="dcterms:W3CDTF">2026-05-01T06:35:22Z</dcterms:modified>
</cp:coreProperties>
</file>